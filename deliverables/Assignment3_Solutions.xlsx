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1 Venture Math" sheetId="2" state="visible" r:id="rId4"/>
    <sheet name="Raincouver Metrics" sheetId="3" state="visible" r:id="rId5"/>
    <sheet name="Raincouver Model" sheetId="4" state="visible" r:id="rId6"/>
  </sheets>
  <definedNames>
    <definedName function="false" hidden="false" name="ActiveCase" vbProcedure="false">#REF!</definedName>
    <definedName function="false" hidden="false" name="ActiveDisplay" vbProcedure="false">#REF!</definedName>
    <definedName function="false" hidden="false" name="controlDepartments" vbProcedure="false">#REF!</definedName>
    <definedName function="false" hidden="false" name="controlGLItems" vbProcedure="false">#REF!</definedName>
    <definedName function="false" hidden="false" name="controlGLMappingData" vbProcedure="false">#REF!</definedName>
    <definedName function="false" hidden="false" name="employeerelationsData" vbProcedure="false">#REF!</definedName>
    <definedName function="false" hidden="false" name="employeerelationsDateHeader" vbProcedure="false">#REF!</definedName>
    <definedName function="false" hidden="false" name="employeerelationsDepartment" vbProcedure="false">#REF!</definedName>
    <definedName function="false" hidden="false" name="employeerelationsGL" vbProcedure="false">#REF!</definedName>
    <definedName function="false" hidden="false" name="facilitiesDepartment" vbProcedure="false">#REF!</definedName>
    <definedName function="false" hidden="false" name="facilitiesLocation" vbProcedure="false">#REF!</definedName>
    <definedName function="false" hidden="false" name="gmCSAllocation" vbProcedure="false">#REF!</definedName>
    <definedName function="false" hidden="false" name="gmSEAllocation" vbProcedure="false">#REF!</definedName>
    <definedName function="false" hidden="false" name="hcimportDataRange" vbProcedure="false">#REF!</definedName>
    <definedName function="false" hidden="false" name="hcimportDateHeader" vbProcedure="false">#REF!</definedName>
    <definedName function="false" hidden="false" name="hcimportDepartment" vbProcedure="false">#REF!</definedName>
    <definedName function="false" hidden="false" name="hcimportGL" vbProcedure="false">#REF!</definedName>
    <definedName function="false" hidden="false" name="otherData" vbProcedure="false">#REF!</definedName>
    <definedName function="false" hidden="false" name="otherDateHeader" vbProcedure="false">#REF!</definedName>
    <definedName function="false" hidden="false" name="otherDepartment" vbProcedure="false">#REF!</definedName>
    <definedName function="false" hidden="false" name="otherGL" vbProcedure="false">#REF!</definedName>
    <definedName function="false" hidden="false" name="saleshcimportDataRange" vbProcedure="false">#REF!</definedName>
    <definedName function="false" hidden="false" name="saleshcimportDateHeaderRange" vbProcedure="false">#REF!</definedName>
    <definedName function="false" hidden="false" name="saleshcimportRoleName" vbProcedure="false">#REF!</definedName>
    <definedName function="false" hidden="false" name="saleshcimportTeam" vbProcedure="false">#REF!</definedName>
    <definedName function="false" hidden="false" name="travelentData" vbProcedure="false">#REF!</definedName>
    <definedName function="false" hidden="false" name="travelentDateHeader" vbProcedure="false">#REF!</definedName>
    <definedName function="false" hidden="false" name="travelentDepartment" vbProcedure="false">#REF!</definedName>
    <definedName function="false" hidden="false" name="travelentGL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<sst xmlns="http://schemas.openxmlformats.org/spreadsheetml/2006/main" count="215" uniqueCount="189">
  <si>
    <t xml:space="preserve">COMM/R &amp; COEC 387 - Assignment 3 Solutions</t>
  </si>
  <si>
    <t xml:space="preserve">Contents</t>
  </si>
  <si>
    <t xml:space="preserve">P1 Venture Math</t>
  </si>
  <si>
    <t xml:space="preserve">Problem 1 (DubiousLedger): all calculations with live formulas. Blue cells are inputs - change them and every answer updates.</t>
  </si>
  <si>
    <t xml:space="preserve">Raincouver Model</t>
  </si>
  <si>
    <t xml:space="preserve">The original financial model provided with the assignment (unchanged).</t>
  </si>
  <si>
    <t xml:space="preserve">Raincouver Metrics</t>
  </si>
  <si>
    <t xml:space="preserve">Supporting calculations for Problem 2 (Raincouver AI): SaaS metrics built by formula from the model, benchmarks and ratings. The written answers (Q1-Q4) are in the separate Word file "Assignment3_Raincouver_AI_Answers.docx".</t>
  </si>
  <si>
    <t xml:space="preserve">Conventions</t>
  </si>
  <si>
    <t xml:space="preserve">Colour code</t>
  </si>
  <si>
    <t xml:space="preserve">Blue font = hard-coded input; black = formula; green fill = final answer; yellow fill = comment / assumption.</t>
  </si>
  <si>
    <t xml:space="preserve">Units</t>
  </si>
  <si>
    <t xml:space="preserve">Problem 1 in $ millions (founder shares in units). Raincouver model in $ thousands.</t>
  </si>
  <si>
    <t xml:space="preserve">Numbering note</t>
  </si>
  <si>
    <t xml:space="preserve">The assignment PDF contains Problem 1 (DubiousLedger) and Problem 2 (Raincouver AI). Raincouver AI is the problem built on the Excel model, and its written answers are delivered in a separate Word file, as the instructions require.</t>
  </si>
  <si>
    <t xml:space="preserve">Problem 1 - DubiousLedger: how much can the founders raise and still keep 34%?</t>
  </si>
  <si>
    <t xml:space="preserve">Inputs</t>
  </si>
  <si>
    <t xml:space="preserve">Value</t>
  </si>
  <si>
    <t xml:space="preserve">Source / comment</t>
  </si>
  <si>
    <t xml:space="preserve">Exit value ($M)</t>
  </si>
  <si>
    <t xml:space="preserve">Given: sale for $100M</t>
  </si>
  <si>
    <t xml:space="preserve">Years to exit</t>
  </si>
  <si>
    <t xml:space="preserve">Given</t>
  </si>
  <si>
    <t xml:space="preserve">Founder shares today</t>
  </si>
  <si>
    <t xml:space="preserve">Given: 1 million shares</t>
  </si>
  <si>
    <t xml:space="preserve">Founders' target ownership at exit</t>
  </si>
  <si>
    <t xml:space="preserve">Given: keep 34% until exit</t>
  </si>
  <si>
    <t xml:space="preserve">VC target annual compound return</t>
  </si>
  <si>
    <t xml:space="preserve">Round-2 amount ($M)</t>
  </si>
  <si>
    <t xml:space="preserve">Q2: $3M raised from VCs ...</t>
  </si>
  <si>
    <t xml:space="preserve">Round-2 timing (years from today)</t>
  </si>
  <si>
    <t xml:space="preserve">... 4 years from now</t>
  </si>
  <si>
    <t xml:space="preserve">Method (explained)</t>
  </si>
  <si>
    <t xml:space="preserve">Key idea: a VC who invests $X today needs X*(1+r)^n at exit. If the exit is worth $100M, that sum is a fixed fraction of the company: required ownership = X*(1+r)^n / Exit value. Whatever the VCs must own, the founders keep the rest (1 - VC ownership). With several rounds, each investor's required share of the EXIT value is computed with the compounding that applies to ITS holding period, and the required shares simply add up (later-round dilution is already captured because ownership is defined at exit).</t>
  </si>
  <si>
    <t xml:space="preserve">Q1(a). Can DubiousLedger raise $4M in one round today and let founders keep &gt;= 34%?</t>
  </si>
  <si>
    <t xml:space="preserve">Amount raised today ($M)</t>
  </si>
  <si>
    <t xml:space="preserve">VC required multiple over 10 years  = (1+r)^n</t>
  </si>
  <si>
    <t xml:space="preserve">VC value required at exit ($M)  = X * multiple</t>
  </si>
  <si>
    <t xml:space="preserve">VC ownership required at exit</t>
  </si>
  <si>
    <t xml:space="preserve">More than 100% -&gt; the VCs would need more than the whole company: $4M x 28.9 = $115.7M &gt; $100M exit.</t>
  </si>
  <si>
    <t xml:space="preserve">Founders' ownership at exit  = 1 - VC ownership</t>
  </si>
  <si>
    <t xml:space="preserve">Feasible (founders &gt;= 34%)?</t>
  </si>
  <si>
    <t xml:space="preserve">Not feasible: even at 100% VC ownership the $4M cannot earn 40%/yr on a $100M exit.</t>
  </si>
  <si>
    <t xml:space="preserve">Q1(b). Maximum raise today so that founders keep exactly 34%</t>
  </si>
  <si>
    <t xml:space="preserve">Maximum VC ownership at exit  = 1 - 34%</t>
  </si>
  <si>
    <t xml:space="preserve">Maximum VC value at exit ($M)</t>
  </si>
  <si>
    <t xml:space="preserve">MAXIMUM AMOUNT RAISED TODAY ($M)  = value / multiple</t>
  </si>
  <si>
    <t xml:space="preserve">Calc: 0.66 x $100M / 1.4^10 = about $2.28M (so $4M is too much; ~$2.28M is the ceiling).</t>
  </si>
  <si>
    <t xml:space="preserve">Check: founders' ownership at exit with this raise</t>
  </si>
  <si>
    <t xml:space="preserve">Founders' shares / total shares post-round (shares check)</t>
  </si>
  <si>
    <t xml:space="preserve">Total shares needed so 1,000,000 founder shares = 34%</t>
  </si>
  <si>
    <t xml:space="preserve">New shares issued to VCs</t>
  </si>
  <si>
    <t xml:space="preserve">Implied price per share today ($)</t>
  </si>
  <si>
    <t xml:space="preserve">Implied pre-money / post-money valuation today ($M)</t>
  </si>
  <si>
    <t xml:space="preserve">Q2. Two rounds: $3M raised 4 years from now; maximum raised today (founders keep 34%)</t>
  </si>
  <si>
    <t xml:space="preserve">Round-2 multiple over remaining years  = (1+r)^(n - t2)</t>
  </si>
  <si>
    <t xml:space="preserve">Round-2 investors' required value at exit ($M)</t>
  </si>
  <si>
    <t xml:space="preserve">Round-2 investors' ownership at exit</t>
  </si>
  <si>
    <t xml:space="preserve">Max total VC ownership at exit  = 1 - 34%</t>
  </si>
  <si>
    <t xml:space="preserve">Ownership left for round-1 (today) investors at exit</t>
  </si>
  <si>
    <t xml:space="preserve">Round-1 investors' value at exit ($M)</t>
  </si>
  <si>
    <t xml:space="preserve">MAXIMUM RAISED TODAY ($M)  = value / 1.4^10</t>
  </si>
  <si>
    <t xml:space="preserve">Calc: (66% - 22.6%) x $100M / 1.4^10 = about $1.50M today, then $3M in year 4 (total $4.50M).</t>
  </si>
  <si>
    <t xml:space="preserve">Total capital raised across both rounds ($M)</t>
  </si>
  <si>
    <t xml:space="preserve">Staging raises ~$2.2M more in total than the single round ($2.28M) because year-4 money only has to compound 6 years, not 10.</t>
  </si>
  <si>
    <t xml:space="preserve">Check: founders' ownership at exit</t>
  </si>
  <si>
    <t xml:space="preserve">Check: round-1 stake value at yr 4 ($M)  = X*(1+r)^t2</t>
  </si>
  <si>
    <t xml:space="preserve">Check: implied post-money at yr 4 ($M) = $3M / round-2 ownership</t>
  </si>
  <si>
    <t xml:space="preserve">Check: round-1 share of that post-money ($M) = own% x post-money</t>
  </si>
  <si>
    <t xml:space="preserve">Equals the previous check line -&gt; the two rounds are internally consistent.</t>
  </si>
  <si>
    <t xml:space="preserve">Share count at exit (founders = 34%)</t>
  </si>
  <si>
    <t xml:space="preserve">Round-1 shares / Round-2 shares</t>
  </si>
  <si>
    <t xml:space="preserve">Sensitivity - maximum single-round raise today vs. VC target return (formula)</t>
  </si>
  <si>
    <t xml:space="preserve">VC target return</t>
  </si>
  <si>
    <t xml:space="preserve">Max raise ($M)</t>
  </si>
  <si>
    <t xml:space="preserve">Multiple</t>
  </si>
  <si>
    <t xml:space="preserve">A higher VC hurdle rate sharply reduces how much the founders can raise at a given ownership floor.</t>
  </si>
  <si>
    <t xml:space="preserve">Raincouver AI - SaaS metrics built from the model ($ thousands)</t>
  </si>
  <si>
    <t xml:space="preserve">All figures are formulas linked to the "Raincouver Model" sheet (annual columns F:I). Operating loss is used as a proxy for burn because the model has no cash-flow statement.</t>
  </si>
  <si>
    <t xml:space="preserve">Metric</t>
  </si>
  <si>
    <t xml:space="preserve">FY21A</t>
  </si>
  <si>
    <t xml:space="preserve">FY22E</t>
  </si>
  <si>
    <t xml:space="preserve">FY23E</t>
  </si>
  <si>
    <t xml:space="preserve">FY24E</t>
  </si>
  <si>
    <t xml:space="preserve">Benchmark (approx., see sources below)</t>
  </si>
  <si>
    <t xml:space="preserve">Rating FY24E vs benchmark</t>
  </si>
  <si>
    <t xml:space="preserve">Scale &amp; growth</t>
  </si>
  <si>
    <t xml:space="preserve">Starting ARR</t>
  </si>
  <si>
    <t xml:space="preserve">Ending ARR</t>
  </si>
  <si>
    <t xml:space="preserve">ARR growth (YoY)</t>
  </si>
  <si>
    <t xml:space="preserve">Median ~35-50% at $10-100M ARR; top quartile 80-100%+</t>
  </si>
  <si>
    <t xml:space="preserve">Top quartile</t>
  </si>
  <si>
    <t xml:space="preserve">Revenue</t>
  </si>
  <si>
    <t xml:space="preserve">Revenue growth (YoY)</t>
  </si>
  <si>
    <t xml:space="preserve">as above</t>
  </si>
  <si>
    <t xml:space="preserve">Retention (dollar-based, annual, on starting ARR)</t>
  </si>
  <si>
    <t xml:space="preserve">Gross $ churn % of starting ARR</t>
  </si>
  <si>
    <t xml:space="preserve">Median ~10-15%; SMB-focused 20-30%+; enterprise &lt;8%</t>
  </si>
  <si>
    <t xml:space="preserve">Bottom quartile</t>
  </si>
  <si>
    <t xml:space="preserve">Gross revenue retention (GRR)</t>
  </si>
  <si>
    <t xml:space="preserve">Median ~85-90%; top quartile &gt;92%</t>
  </si>
  <si>
    <t xml:space="preserve">Net revenue retention (NRR)</t>
  </si>
  <si>
    <t xml:space="preserve">Median ~100-105%; top quartile &gt;120%</t>
  </si>
  <si>
    <t xml:space="preserve">Upsell+expansion % of starting ARR</t>
  </si>
  <si>
    <t xml:space="preserve">New-logo share of gross new ARR</t>
  </si>
  <si>
    <t xml:space="preserve">Margins &amp; cost structure (% of revenue)</t>
  </si>
  <si>
    <t xml:space="preserve">Gross margin</t>
  </si>
  <si>
    <t xml:space="preserve">Median ~75-78%; top quartile 80%+; AI-native often 50-65%</t>
  </si>
  <si>
    <t xml:space="preserve">Below median (lower-mid)</t>
  </si>
  <si>
    <t xml:space="preserve">S&amp;M % of revenue</t>
  </si>
  <si>
    <t xml:space="preserve">Median ~35-45%; high-growth up to 50-60%</t>
  </si>
  <si>
    <t xml:space="preserve">R&amp;D % of revenue</t>
  </si>
  <si>
    <t xml:space="preserve">Median ~25-30%</t>
  </si>
  <si>
    <t xml:space="preserve">Bottom quartile (but falling fast)</t>
  </si>
  <si>
    <t xml:space="preserve">G&amp;A % of revenue</t>
  </si>
  <si>
    <t xml:space="preserve">Median ~15-20%</t>
  </si>
  <si>
    <t xml:space="preserve">Bottom quartile / near median by FY24</t>
  </si>
  <si>
    <t xml:space="preserve">Operating margin</t>
  </si>
  <si>
    <t xml:space="preserve">Median ~ -20% to -30% for growth-stage SaaS</t>
  </si>
  <si>
    <t xml:space="preserve">Rule of 40 (revenue growth + operating margin)</t>
  </si>
  <si>
    <t xml:space="preserve">Median ~10-20%; top quartile &gt;40%</t>
  </si>
  <si>
    <t xml:space="preserve">Below median (FY24 closest)</t>
  </si>
  <si>
    <t xml:space="preserve">Efficiency</t>
  </si>
  <si>
    <t xml:space="preserve">Operating loss (burn proxy)</t>
  </si>
  <si>
    <t xml:space="preserve">Net new ARR</t>
  </si>
  <si>
    <t xml:space="preserve">Burn multiple = burn / net new ARR</t>
  </si>
  <si>
    <t xml:space="preserve">&lt;1x amazing, 1-1.5x great, 1.5-2x good, 2-3x suspect, &gt;3x bad (Craft Ventures)</t>
  </si>
  <si>
    <t xml:space="preserve">Great by FY24 (1.1x); bad in FY21-22</t>
  </si>
  <si>
    <t xml:space="preserve">Sales efficiency = gross new ARR / S&amp;M</t>
  </si>
  <si>
    <t xml:space="preserve">Median ~0.7-0.8x; top quartile &gt;1.0x</t>
  </si>
  <si>
    <t xml:space="preserve">Median / near top quartile</t>
  </si>
  <si>
    <t xml:space="preserve">CAC payback (months, gross-margin adjusted)</t>
  </si>
  <si>
    <t xml:space="preserve">Median ~20-24 mo; top quartile &lt;12-15 mo</t>
  </si>
  <si>
    <t xml:space="preserve">Median improving to upper-mid</t>
  </si>
  <si>
    <t xml:space="preserve">Model observations / data-quality flags (comments)</t>
  </si>
  <si>
    <t xml:space="preserve">Revenue lags ARR: Q4-24 revenue x4 = ~$86M vs ending ARR $111.6M (about 30% gap). Ask whether ARR includes contracted-not-yet-live customers.</t>
  </si>
  <si>
    <t xml:space="preserve">Cell K21 divides Q1-21 ending ARR by a hard-coded 6,412 instead of the 7,912 starting ARR (K10) - inconsistent opening base; growth in Q1-21 is overstated.</t>
  </si>
  <si>
    <t xml:space="preserve">FY24 quarterly new-logo / upsell / expansion inputs are rounded hard-codes (e.g. 8,105; 8,374; 8,656; 8,953), unlike the formula-like FY22-23 numbers: looks like top-down targets, not a bottoms-up build.</t>
  </si>
  <si>
    <t xml:space="preserve">No customer counts, cohort data, ACV, cash balance or cash-flow: LTV/CAC, logo churn and runway cannot be computed - these are diligence requests.</t>
  </si>
  <si>
    <t xml:space="preserve">FY21A is actual; FY22E-FY24E are forecasts. Quarterly ARR growth decelerates from 38% (Q1-21) to 14% (Q4-24), while revenue growth stays ~100% YoY.</t>
  </si>
  <si>
    <t xml:space="preserve">Benchmarks are approximate medians/quartiles recalled from public SaaS surveys (see below), rounded to ranges; they should be re-checked against the latest edition before relying on them.</t>
  </si>
  <si>
    <t xml:space="preserve">Benchmark sources</t>
  </si>
  <si>
    <t xml:space="preserve">KeyBanc Capital Markets &amp; Sapphire Ventures - Private SaaS Company Survey (growth, retention, CAC payback, cost structure by ARR band)</t>
  </si>
  <si>
    <t xml:space="preserve">OpenView Partners - SaaS Benchmarks Report (growth, NRR, GRR, gross margin, S&amp;M efficiency)</t>
  </si>
  <si>
    <t xml:space="preserve">ICONIQ Growth - Topline Growth &amp; Operational Efficiency report (growth, burn multiple, Rule of 40)</t>
  </si>
  <si>
    <t xml:space="preserve">Craft Ventures (David Sacks) - "The Burn Multiple" (burn / net new ARR thresholds)</t>
  </si>
  <si>
    <t xml:space="preserve">Bessemer Venture Partners - "Scaling to $100 Million" (T2D3 / growth-path benchmarks) and BVP Cloud Index</t>
  </si>
  <si>
    <t xml:space="preserve">Summary P&amp;L</t>
  </si>
  <si>
    <t xml:space="preserve">2021 Planning</t>
  </si>
  <si>
    <t xml:space="preserve">FY2021A</t>
  </si>
  <si>
    <t xml:space="preserve">FY2022E</t>
  </si>
  <si>
    <t xml:space="preserve">FY2023E</t>
  </si>
  <si>
    <t xml:space="preserve">FY2024E</t>
  </si>
  <si>
    <t xml:space="preserve">Q1-21A</t>
  </si>
  <si>
    <t xml:space="preserve">Q2-21A</t>
  </si>
  <si>
    <t xml:space="preserve">Q3-21A</t>
  </si>
  <si>
    <t xml:space="preserve">Q4-21A</t>
  </si>
  <si>
    <t xml:space="preserve">Q1-22E</t>
  </si>
  <si>
    <t xml:space="preserve">Q2-22E</t>
  </si>
  <si>
    <t xml:space="preserve">Q3-22E</t>
  </si>
  <si>
    <t xml:space="preserve">Q4-22E</t>
  </si>
  <si>
    <t xml:space="preserve">Q1-23E</t>
  </si>
  <si>
    <t xml:space="preserve">Q2-23E</t>
  </si>
  <si>
    <t xml:space="preserve">Q3-23E</t>
  </si>
  <si>
    <t xml:space="preserve">Q4-23E</t>
  </si>
  <si>
    <t xml:space="preserve">Q1-24E</t>
  </si>
  <si>
    <t xml:space="preserve">Q2-24E</t>
  </si>
  <si>
    <t xml:space="preserve">Q3-24E</t>
  </si>
  <si>
    <t xml:space="preserve">Q4-24E</t>
  </si>
  <si>
    <t xml:space="preserve">x</t>
  </si>
  <si>
    <t xml:space="preserve">ARR</t>
  </si>
  <si>
    <t xml:space="preserve">(+) New Logo</t>
  </si>
  <si>
    <t xml:space="preserve">(+) Upsell</t>
  </si>
  <si>
    <t xml:space="preserve">(+) Expansion</t>
  </si>
  <si>
    <t xml:space="preserve">Gross New ARR</t>
  </si>
  <si>
    <t xml:space="preserve">(-) Churn</t>
  </si>
  <si>
    <t xml:space="preserve">Net New ARR</t>
  </si>
  <si>
    <t xml:space="preserve">   % growth</t>
  </si>
  <si>
    <t xml:space="preserve">P&amp;L</t>
  </si>
  <si>
    <t xml:space="preserve">(-) COS</t>
  </si>
  <si>
    <t xml:space="preserve">Gross Profit</t>
  </si>
  <si>
    <t xml:space="preserve">   % margin</t>
  </si>
  <si>
    <t xml:space="preserve">Sales</t>
  </si>
  <si>
    <t xml:space="preserve">Marketing</t>
  </si>
  <si>
    <t xml:space="preserve">Total S&amp;M</t>
  </si>
  <si>
    <t xml:space="preserve">R&amp;D</t>
  </si>
  <si>
    <t xml:space="preserve">G&amp;A</t>
  </si>
  <si>
    <t xml:space="preserve">Total Opex</t>
  </si>
  <si>
    <t xml:space="preserve">Operating Profit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</si>
</sst>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%"/>
    <numFmt numFmtId="167" formatCode="0.000\x"/>
    <numFmt numFmtId="168" formatCode="0.00"/>
    <numFmt numFmtId="169" formatCode="0.0%"/>
    <numFmt numFmtId="170" formatCode="0.000"/>
    <numFmt numFmtId="171" formatCode="0.0\x"/>
    <numFmt numFmtId="172" formatCode="0.00\x"/>
    <numFmt numFmtId="173" formatCode="0.0"/>
    <numFmt numFmtId="174" formatCode="0.0_)%;\(0.0\)%;0.0_)%;@_)_%"/>
    <numFmt numFmtId="175" formatCode="[$-409]mmm\-yy"/>
    <numFmt numFmtId="176" formatCode="\$_(#,##0_);&quot;$(&quot;#,##0\);\$_(0_);@_)"/>
    <numFmt numFmtId="177" formatCode="_(#,##0_);\(#,##0\);_(0_);@_)"/>
    <numFmt numFmtId="178" formatCode="\$_(#,##0_);&quot;$(&quot;#,##0\);\$_(0_);@_)"/>
    <numFmt numFmtId="179" formatCode="0_)%;\(0\)%;0_)%;@_)_%"/>
    <numFmt numFmtId="180" formatCode="0.00%"/>
  </numFmts>
  <fonts count="1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8"/>
      <color rgb="FF00355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2"/>
      <color rgb="FF00355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5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00355F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EE3ED"/>
      </patternFill>
    </fill>
    <fill>
      <patternFill patternType="solid">
        <fgColor rgb="FFE2EFDA"/>
        <bgColor rgb="FFE8EBF2"/>
      </patternFill>
    </fill>
    <fill>
      <patternFill patternType="solid">
        <fgColor rgb="FF5E76AA"/>
        <bgColor rgb="FF808080"/>
      </patternFill>
    </fill>
    <fill>
      <patternFill patternType="solid">
        <fgColor theme="7"/>
        <bgColor rgb="FFFF8080"/>
      </patternFill>
    </fill>
    <fill>
      <patternFill patternType="solid">
        <fgColor rgb="FFE8EBF2"/>
        <bgColor rgb="FFDEE3ED"/>
      </patternFill>
    </fill>
    <fill>
      <patternFill patternType="solid">
        <fgColor rgb="FFDEE3ED"/>
        <bgColor rgb="FFD9E1F2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9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6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B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3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B485C"/>
      <rgbColor rgb="FF5E76AA"/>
      <rgbColor rgb="FF969696"/>
      <rgbColor rgb="FF00355F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2132a"/>
      </a:accent1>
      <a:accent2>
        <a:srgbClr val="0b87a1"/>
      </a:accent2>
      <a:accent3>
        <a:srgbClr val="0a8988"/>
      </a:accent3>
      <a:accent4>
        <a:srgbClr val="fb485c"/>
      </a:accent4>
      <a:accent5>
        <a:srgbClr val="c7d108"/>
      </a:accent5>
      <a:accent6>
        <a:srgbClr val="ccccc2"/>
      </a:accent6>
      <a:hlink>
        <a:srgbClr val="c0f0fb"/>
      </a:hlink>
      <a:folHlink>
        <a:srgbClr val="c0f0fb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29.8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/>
      <c r="C8" s="4"/>
    </row>
    <row r="9" customFormat="false" ht="15" hidden="false" customHeight="false" outlineLevel="0" collapsed="false">
      <c r="B9" s="2" t="s">
        <v>8</v>
      </c>
      <c r="C9" s="2"/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2" customFormat="false" ht="29.8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4"/>
      <c r="C13" s="4"/>
    </row>
    <row r="14" customFormat="false" ht="15" hidden="false" customHeight="false" outlineLevel="0" collapsed="false">
      <c r="B14" s="4"/>
      <c r="C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B1" s="5" t="s">
        <v>15</v>
      </c>
    </row>
    <row r="3" customFormat="false" ht="15" hidden="false" customHeight="false" outlineLevel="0" collapsed="false">
      <c r="B3" s="6" t="s">
        <v>16</v>
      </c>
      <c r="C3" s="6" t="s">
        <v>17</v>
      </c>
      <c r="D3" s="6"/>
      <c r="E3" s="6" t="s">
        <v>18</v>
      </c>
    </row>
    <row r="4" customFormat="false" ht="15" hidden="false" customHeight="false" outlineLevel="0" collapsed="false">
      <c r="B4" s="0" t="s">
        <v>19</v>
      </c>
      <c r="C4" s="7" t="n">
        <v>100</v>
      </c>
      <c r="E4" s="8" t="s">
        <v>20</v>
      </c>
    </row>
    <row r="5" customFormat="false" ht="15" hidden="false" customHeight="false" outlineLevel="0" collapsed="false">
      <c r="B5" s="0" t="s">
        <v>21</v>
      </c>
      <c r="C5" s="7" t="n">
        <v>10</v>
      </c>
      <c r="E5" s="8" t="s">
        <v>22</v>
      </c>
    </row>
    <row r="6" customFormat="false" ht="15" hidden="false" customHeight="false" outlineLevel="0" collapsed="false">
      <c r="B6" s="0" t="s">
        <v>23</v>
      </c>
      <c r="C6" s="9" t="n">
        <v>1000000</v>
      </c>
      <c r="E6" s="8" t="s">
        <v>24</v>
      </c>
    </row>
    <row r="7" customFormat="false" ht="15" hidden="false" customHeight="false" outlineLevel="0" collapsed="false">
      <c r="B7" s="0" t="s">
        <v>25</v>
      </c>
      <c r="C7" s="10" t="n">
        <v>0.34</v>
      </c>
      <c r="E7" s="8" t="s">
        <v>26</v>
      </c>
    </row>
    <row r="8" customFormat="false" ht="15" hidden="false" customHeight="false" outlineLevel="0" collapsed="false">
      <c r="B8" s="0" t="s">
        <v>27</v>
      </c>
      <c r="C8" s="10" t="n">
        <v>0.4</v>
      </c>
      <c r="E8" s="8" t="s">
        <v>22</v>
      </c>
    </row>
    <row r="9" customFormat="false" ht="15" hidden="false" customHeight="false" outlineLevel="0" collapsed="false">
      <c r="B9" s="0" t="s">
        <v>28</v>
      </c>
      <c r="C9" s="7" t="n">
        <v>3</v>
      </c>
      <c r="E9" s="8" t="s">
        <v>29</v>
      </c>
    </row>
    <row r="10" customFormat="false" ht="15" hidden="false" customHeight="false" outlineLevel="0" collapsed="false">
      <c r="B10" s="0" t="s">
        <v>30</v>
      </c>
      <c r="C10" s="7" t="n">
        <v>4</v>
      </c>
      <c r="E10" s="8" t="s">
        <v>31</v>
      </c>
    </row>
    <row r="12" customFormat="false" ht="15" hidden="false" customHeight="false" outlineLevel="0" collapsed="false">
      <c r="B12" s="6" t="s">
        <v>32</v>
      </c>
      <c r="C12" s="6"/>
      <c r="D12" s="6"/>
      <c r="E12" s="6"/>
    </row>
    <row r="13" customFormat="false" ht="75" hidden="false" customHeight="true" outlineLevel="0" collapsed="false">
      <c r="B13" s="11" t="s">
        <v>33</v>
      </c>
      <c r="C13" s="11"/>
      <c r="D13" s="11"/>
      <c r="E13" s="11"/>
    </row>
    <row r="15" customFormat="false" ht="15" hidden="false" customHeight="false" outlineLevel="0" collapsed="false">
      <c r="B15" s="12" t="s">
        <v>34</v>
      </c>
      <c r="C15" s="12"/>
      <c r="D15" s="12"/>
      <c r="E15" s="12"/>
    </row>
    <row r="16" customFormat="false" ht="15" hidden="false" customHeight="false" outlineLevel="0" collapsed="false">
      <c r="B16" s="0" t="s">
        <v>35</v>
      </c>
      <c r="C16" s="7" t="n">
        <v>4</v>
      </c>
      <c r="E16" s="4"/>
    </row>
    <row r="17" customFormat="false" ht="15" hidden="false" customHeight="false" outlineLevel="0" collapsed="false">
      <c r="B17" s="0" t="s">
        <v>36</v>
      </c>
      <c r="C17" s="13" t="n">
        <f aca="false">(1+$C$8)^$C$5</f>
        <v>28.9254654976</v>
      </c>
      <c r="E17" s="4"/>
    </row>
    <row r="18" customFormat="false" ht="15" hidden="false" customHeight="false" outlineLevel="0" collapsed="false">
      <c r="B18" s="0" t="s">
        <v>37</v>
      </c>
      <c r="C18" s="14" t="n">
        <f aca="false">C16*C17</f>
        <v>115.7018619904</v>
      </c>
      <c r="E18" s="4"/>
    </row>
    <row r="19" customFormat="false" ht="29.85" hidden="false" customHeight="false" outlineLevel="0" collapsed="false">
      <c r="B19" s="0" t="s">
        <v>38</v>
      </c>
      <c r="C19" s="15" t="n">
        <f aca="false">C18/$C$4</f>
        <v>1.157018619904</v>
      </c>
      <c r="E19" s="4" t="s">
        <v>39</v>
      </c>
    </row>
    <row r="20" customFormat="false" ht="15" hidden="false" customHeight="false" outlineLevel="0" collapsed="false">
      <c r="B20" s="0" t="s">
        <v>40</v>
      </c>
      <c r="C20" s="15" t="n">
        <f aca="false">1-C19</f>
        <v>-0.157018619903999</v>
      </c>
      <c r="E20" s="4"/>
    </row>
    <row r="21" customFormat="false" ht="29.85" hidden="false" customHeight="false" outlineLevel="0" collapsed="false">
      <c r="B21" s="16" t="s">
        <v>41</v>
      </c>
      <c r="C21" s="16" t="str">
        <f aca="false">IF(C20&gt;=$C$7,"YES","NO")</f>
        <v>NO</v>
      </c>
      <c r="E21" s="4" t="s">
        <v>42</v>
      </c>
    </row>
    <row r="22" customFormat="false" ht="15" hidden="false" customHeight="false" outlineLevel="0" collapsed="false">
      <c r="E22" s="4"/>
    </row>
    <row r="23" customFormat="false" ht="15" hidden="false" customHeight="false" outlineLevel="0" collapsed="false">
      <c r="B23" s="12" t="s">
        <v>43</v>
      </c>
      <c r="C23" s="12"/>
      <c r="D23" s="12"/>
      <c r="E23" s="17"/>
    </row>
    <row r="24" customFormat="false" ht="15" hidden="false" customHeight="false" outlineLevel="0" collapsed="false">
      <c r="B24" s="0" t="s">
        <v>44</v>
      </c>
      <c r="C24" s="15" t="n">
        <f aca="false">1-$C$7</f>
        <v>0.66</v>
      </c>
      <c r="E24" s="4"/>
    </row>
    <row r="25" customFormat="false" ht="15" hidden="false" customHeight="false" outlineLevel="0" collapsed="false">
      <c r="B25" s="0" t="s">
        <v>45</v>
      </c>
      <c r="C25" s="14" t="n">
        <f aca="false">C24*$C$4</f>
        <v>66</v>
      </c>
      <c r="E25" s="4"/>
    </row>
    <row r="26" customFormat="false" ht="29.85" hidden="false" customHeight="false" outlineLevel="0" collapsed="false">
      <c r="B26" s="16" t="s">
        <v>46</v>
      </c>
      <c r="C26" s="18" t="n">
        <f aca="false">C25/C17</f>
        <v>2.28172646021811</v>
      </c>
      <c r="E26" s="4" t="s">
        <v>47</v>
      </c>
    </row>
    <row r="27" customFormat="false" ht="15" hidden="false" customHeight="false" outlineLevel="0" collapsed="false">
      <c r="B27" s="0" t="s">
        <v>48</v>
      </c>
      <c r="C27" s="15" t="n">
        <f aca="false">1-C26*C17/$C$4</f>
        <v>0.34</v>
      </c>
      <c r="E27" s="4"/>
    </row>
    <row r="28" customFormat="false" ht="15" hidden="false" customHeight="false" outlineLevel="0" collapsed="false">
      <c r="B28" s="0" t="s">
        <v>49</v>
      </c>
      <c r="C28" s="19" t="n">
        <f aca="false">$C$6/$C$7</f>
        <v>2941176.47058824</v>
      </c>
      <c r="E28" s="4" t="s">
        <v>50</v>
      </c>
    </row>
    <row r="29" customFormat="false" ht="15" hidden="false" customHeight="false" outlineLevel="0" collapsed="false">
      <c r="B29" s="0" t="s">
        <v>51</v>
      </c>
      <c r="C29" s="19" t="n">
        <f aca="false">C28-$C$6</f>
        <v>1941176.47058824</v>
      </c>
      <c r="E29" s="4"/>
    </row>
    <row r="30" customFormat="false" ht="15" hidden="false" customHeight="false" outlineLevel="0" collapsed="false">
      <c r="B30" s="0" t="s">
        <v>52</v>
      </c>
      <c r="C30" s="20" t="n">
        <f aca="false">C26*1000000/C29</f>
        <v>1.17543484314266</v>
      </c>
      <c r="E30" s="4"/>
    </row>
    <row r="31" customFormat="false" ht="15" hidden="false" customHeight="false" outlineLevel="0" collapsed="false">
      <c r="B31" s="0" t="s">
        <v>53</v>
      </c>
      <c r="C31" s="14" t="n">
        <f aca="false">C30*$C$6/1000000</f>
        <v>1.17543484314266</v>
      </c>
      <c r="D31" s="14" t="n">
        <f aca="false">C30*C28/1000000</f>
        <v>3.45716130336078</v>
      </c>
      <c r="E31" s="4"/>
    </row>
    <row r="32" customFormat="false" ht="15" hidden="false" customHeight="false" outlineLevel="0" collapsed="false">
      <c r="E32" s="4"/>
    </row>
    <row r="33" customFormat="false" ht="15" hidden="false" customHeight="false" outlineLevel="0" collapsed="false">
      <c r="B33" s="12" t="s">
        <v>54</v>
      </c>
      <c r="C33" s="12"/>
      <c r="D33" s="12"/>
      <c r="E33" s="17"/>
    </row>
    <row r="34" customFormat="false" ht="15" hidden="false" customHeight="false" outlineLevel="0" collapsed="false">
      <c r="B34" s="0" t="s">
        <v>55</v>
      </c>
      <c r="C34" s="13" t="n">
        <f aca="false">(1+$C$8)^($C$5-$C$10)</f>
        <v>7.529536</v>
      </c>
      <c r="E34" s="4"/>
    </row>
    <row r="35" customFormat="false" ht="15" hidden="false" customHeight="false" outlineLevel="0" collapsed="false">
      <c r="B35" s="0" t="s">
        <v>56</v>
      </c>
      <c r="C35" s="14" t="n">
        <f aca="false">$C$9*C34</f>
        <v>22.588608</v>
      </c>
      <c r="E35" s="4"/>
    </row>
    <row r="36" customFormat="false" ht="15" hidden="false" customHeight="false" outlineLevel="0" collapsed="false">
      <c r="B36" s="0" t="s">
        <v>57</v>
      </c>
      <c r="C36" s="15" t="n">
        <f aca="false">C35/$C$4</f>
        <v>0.22588608</v>
      </c>
      <c r="E36" s="4"/>
    </row>
    <row r="37" customFormat="false" ht="15" hidden="false" customHeight="false" outlineLevel="0" collapsed="false">
      <c r="B37" s="0" t="s">
        <v>58</v>
      </c>
      <c r="C37" s="15" t="n">
        <f aca="false">1-$C$7</f>
        <v>0.66</v>
      </c>
      <c r="E37" s="4"/>
    </row>
    <row r="38" customFormat="false" ht="15" hidden="false" customHeight="false" outlineLevel="0" collapsed="false">
      <c r="B38" s="0" t="s">
        <v>59</v>
      </c>
      <c r="C38" s="15" t="n">
        <f aca="false">C37-C36</f>
        <v>0.43411392</v>
      </c>
      <c r="E38" s="4"/>
    </row>
    <row r="39" customFormat="false" ht="15" hidden="false" customHeight="false" outlineLevel="0" collapsed="false">
      <c r="B39" s="0" t="s">
        <v>60</v>
      </c>
      <c r="C39" s="14" t="n">
        <f aca="false">C38*$C$4</f>
        <v>43.411392</v>
      </c>
      <c r="E39" s="4"/>
    </row>
    <row r="40" customFormat="false" ht="29.85" hidden="false" customHeight="false" outlineLevel="0" collapsed="false">
      <c r="B40" s="16" t="s">
        <v>61</v>
      </c>
      <c r="C40" s="18" t="n">
        <f aca="false">C39/C17</f>
        <v>1.50080184547426</v>
      </c>
      <c r="E40" s="4" t="s">
        <v>62</v>
      </c>
    </row>
    <row r="41" customFormat="false" ht="29.85" hidden="false" customHeight="false" outlineLevel="0" collapsed="false">
      <c r="B41" s="0" t="s">
        <v>63</v>
      </c>
      <c r="C41" s="14" t="n">
        <f aca="false">C40+$C$9</f>
        <v>4.50080184547426</v>
      </c>
      <c r="E41" s="4" t="s">
        <v>64</v>
      </c>
    </row>
    <row r="42" customFormat="false" ht="15" hidden="false" customHeight="false" outlineLevel="0" collapsed="false">
      <c r="B42" s="0" t="s">
        <v>65</v>
      </c>
      <c r="C42" s="15" t="n">
        <f aca="false">1-C36-C40*C17/$C$4</f>
        <v>0.34</v>
      </c>
      <c r="E42" s="4"/>
    </row>
    <row r="43" customFormat="false" ht="15" hidden="false" customHeight="false" outlineLevel="0" collapsed="false">
      <c r="B43" s="0" t="s">
        <v>66</v>
      </c>
      <c r="C43" s="14" t="n">
        <f aca="false">C40*(1+$C$8)^$C$10</f>
        <v>5.7654803695739</v>
      </c>
      <c r="E43" s="4"/>
    </row>
    <row r="44" customFormat="false" ht="15" hidden="false" customHeight="false" outlineLevel="0" collapsed="false">
      <c r="B44" s="0" t="s">
        <v>67</v>
      </c>
      <c r="C44" s="14" t="n">
        <f aca="false">$C$9/C36</f>
        <v>13.2810308629908</v>
      </c>
      <c r="E44" s="4"/>
    </row>
    <row r="45" customFormat="false" ht="15" hidden="false" customHeight="false" outlineLevel="0" collapsed="false">
      <c r="B45" s="0" t="s">
        <v>68</v>
      </c>
      <c r="C45" s="14" t="n">
        <f aca="false">C38*C44</f>
        <v>5.7654803695739</v>
      </c>
      <c r="E45" s="4" t="s">
        <v>69</v>
      </c>
    </row>
    <row r="46" customFormat="false" ht="15" hidden="false" customHeight="false" outlineLevel="0" collapsed="false">
      <c r="B46" s="0" t="s">
        <v>70</v>
      </c>
      <c r="C46" s="19" t="n">
        <f aca="false">$C$6/$C$7</f>
        <v>2941176.47058824</v>
      </c>
      <c r="E46" s="4"/>
    </row>
    <row r="47" customFormat="false" ht="15" hidden="false" customHeight="false" outlineLevel="0" collapsed="false">
      <c r="B47" s="0" t="s">
        <v>71</v>
      </c>
      <c r="C47" s="19" t="n">
        <f aca="false">C46*C38</f>
        <v>1276805.64705882</v>
      </c>
      <c r="D47" s="19" t="n">
        <f aca="false">C46*C36</f>
        <v>664370.823529412</v>
      </c>
      <c r="E47" s="4"/>
    </row>
    <row r="49" customFormat="false" ht="15" hidden="false" customHeight="false" outlineLevel="0" collapsed="false">
      <c r="B49" s="12" t="s">
        <v>72</v>
      </c>
      <c r="C49" s="12"/>
      <c r="D49" s="12"/>
      <c r="E49" s="12"/>
    </row>
    <row r="50" customFormat="false" ht="15" hidden="false" customHeight="false" outlineLevel="0" collapsed="false">
      <c r="B50" s="21" t="s">
        <v>73</v>
      </c>
      <c r="C50" s="21" t="s">
        <v>74</v>
      </c>
      <c r="D50" s="21" t="s">
        <v>75</v>
      </c>
    </row>
    <row r="51" customFormat="false" ht="15" hidden="false" customHeight="false" outlineLevel="0" collapsed="false">
      <c r="B51" s="22" t="n">
        <v>0.25</v>
      </c>
      <c r="C51" s="14" t="n">
        <f aca="false">(1-$C$7)*$C$4/D51</f>
        <v>7.0866960384</v>
      </c>
      <c r="D51" s="23" t="n">
        <f aca="false">(1+B51)^$C$5</f>
        <v>9.31322574615479</v>
      </c>
      <c r="E51" s="8" t="s">
        <v>76</v>
      </c>
    </row>
    <row r="52" customFormat="false" ht="15" hidden="false" customHeight="false" outlineLevel="0" collapsed="false">
      <c r="B52" s="22" t="n">
        <v>0.3</v>
      </c>
      <c r="C52" s="14" t="n">
        <f aca="false">(1-$C$7)*$C$4/D52</f>
        <v>4.78751791890278</v>
      </c>
      <c r="D52" s="23" t="n">
        <f aca="false">(1+B52)^$C$5</f>
        <v>13.7858491849</v>
      </c>
    </row>
    <row r="53" customFormat="false" ht="15" hidden="false" customHeight="false" outlineLevel="0" collapsed="false">
      <c r="B53" s="22" t="n">
        <v>0.35</v>
      </c>
      <c r="C53" s="14" t="n">
        <f aca="false">(1-$C$7)*$C$4/D53</f>
        <v>3.28251145702241</v>
      </c>
      <c r="D53" s="23" t="n">
        <f aca="false">(1+B53)^$C$5</f>
        <v>20.1065558686181</v>
      </c>
    </row>
    <row r="54" customFormat="false" ht="15" hidden="false" customHeight="false" outlineLevel="0" collapsed="false">
      <c r="B54" s="22" t="n">
        <v>0.4</v>
      </c>
      <c r="C54" s="14" t="n">
        <f aca="false">(1-$C$7)*$C$4/D54</f>
        <v>2.28172646021811</v>
      </c>
      <c r="D54" s="23" t="n">
        <f aca="false">(1+B54)^$C$5</f>
        <v>28.9254654976</v>
      </c>
    </row>
    <row r="55" customFormat="false" ht="15" hidden="false" customHeight="false" outlineLevel="0" collapsed="false">
      <c r="B55" s="22" t="n">
        <v>0.45</v>
      </c>
      <c r="C55" s="14" t="n">
        <f aca="false">(1-$C$7)*$C$4/D55</f>
        <v>1.60643779451671</v>
      </c>
      <c r="D55" s="23" t="n">
        <f aca="false">(1+B55)^$C$5</f>
        <v>41.0846907519727</v>
      </c>
    </row>
    <row r="56" customFormat="false" ht="15" hidden="false" customHeight="false" outlineLevel="0" collapsed="false">
      <c r="B56" s="22" t="n">
        <v>0.5</v>
      </c>
      <c r="C56" s="14" t="n">
        <f aca="false">(1-$C$7)*$C$4/D56</f>
        <v>1.14454097444495</v>
      </c>
      <c r="D56" s="23" t="n">
        <f aca="false">(1+B56)^$C$5</f>
        <v>57.6650390625</v>
      </c>
    </row>
  </sheetData>
  <mergeCells count="1"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3"/>
    <col collapsed="false" customWidth="true" hidden="false" outlineLevel="0" max="7" min="7" style="0" width="3"/>
    <col collapsed="false" customWidth="true" hidden="false" outlineLevel="0" max="8" min="8" style="0" width="62"/>
    <col collapsed="false" customWidth="true" hidden="false" outlineLevel="0" max="9" min="9" style="0" width="26"/>
  </cols>
  <sheetData>
    <row r="1" customFormat="false" ht="17.35" hidden="false" customHeight="false" outlineLevel="0" collapsed="false">
      <c r="B1" s="5" t="s">
        <v>77</v>
      </c>
    </row>
    <row r="2" customFormat="false" ht="15" hidden="false" customHeight="false" outlineLevel="0" collapsed="false">
      <c r="B2" s="0" t="s">
        <v>78</v>
      </c>
    </row>
    <row r="4" customFormat="false" ht="15" hidden="false" customHeight="false" outlineLevel="0" collapsed="false">
      <c r="B4" s="6" t="s">
        <v>79</v>
      </c>
      <c r="C4" s="24" t="s">
        <v>80</v>
      </c>
      <c r="D4" s="24" t="s">
        <v>81</v>
      </c>
      <c r="E4" s="24" t="s">
        <v>82</v>
      </c>
      <c r="F4" s="24" t="s">
        <v>83</v>
      </c>
      <c r="G4" s="6"/>
      <c r="H4" s="6" t="s">
        <v>84</v>
      </c>
      <c r="I4" s="6" t="s">
        <v>85</v>
      </c>
    </row>
    <row r="5" customFormat="false" ht="15" hidden="false" customHeight="false" outlineLevel="0" collapsed="false">
      <c r="B5" s="12" t="s">
        <v>86</v>
      </c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B6" s="0" t="s">
        <v>87</v>
      </c>
      <c r="C6" s="25" t="n">
        <f aca="false">'Raincouver Model'!F10</f>
        <v>7911.99</v>
      </c>
      <c r="D6" s="25" t="n">
        <f aca="false">'Raincouver Model'!G10</f>
        <v>14531.931</v>
      </c>
      <c r="E6" s="25" t="n">
        <f aca="false">'Raincouver Model'!H10</f>
        <v>27819.2994161057</v>
      </c>
      <c r="F6" s="25" t="n">
        <f aca="false">'Raincouver Model'!I10</f>
        <v>60158.2784054694</v>
      </c>
      <c r="H6" s="4"/>
      <c r="I6" s="4"/>
    </row>
    <row r="7" customFormat="false" ht="15" hidden="false" customHeight="false" outlineLevel="0" collapsed="false">
      <c r="B7" s="0" t="s">
        <v>88</v>
      </c>
      <c r="C7" s="25" t="n">
        <f aca="false">'Raincouver Model'!F20</f>
        <v>14531.931</v>
      </c>
      <c r="D7" s="25" t="n">
        <f aca="false">'Raincouver Model'!G20</f>
        <v>27819.2994161057</v>
      </c>
      <c r="E7" s="25" t="n">
        <f aca="false">'Raincouver Model'!H20</f>
        <v>60158.2784054694</v>
      </c>
      <c r="F7" s="25" t="n">
        <f aca="false">'Raincouver Model'!I20</f>
        <v>111585.278405469</v>
      </c>
      <c r="H7" s="4"/>
      <c r="I7" s="4"/>
    </row>
    <row r="8" customFormat="false" ht="15" hidden="false" customHeight="false" outlineLevel="0" collapsed="false">
      <c r="B8" s="0" t="s">
        <v>89</v>
      </c>
      <c r="C8" s="26" t="n">
        <f aca="false">'Raincouver Model'!F20/'Raincouver Model'!F10-1</f>
        <v>0.836697341629603</v>
      </c>
      <c r="D8" s="26" t="n">
        <f aca="false">'Raincouver Model'!G20/'Raincouver Model'!G10-1</f>
        <v>0.914356696030668</v>
      </c>
      <c r="E8" s="26" t="n">
        <f aca="false">'Raincouver Model'!H20/'Raincouver Model'!H10-1</f>
        <v>1.16246561445187</v>
      </c>
      <c r="F8" s="26" t="n">
        <f aca="false">'Raincouver Model'!I20/'Raincouver Model'!I10-1</f>
        <v>0.854861564577693</v>
      </c>
      <c r="H8" s="4" t="s">
        <v>90</v>
      </c>
      <c r="I8" s="4" t="s">
        <v>91</v>
      </c>
    </row>
    <row r="9" customFormat="false" ht="15" hidden="false" customHeight="false" outlineLevel="0" collapsed="false">
      <c r="B9" s="0" t="s">
        <v>92</v>
      </c>
      <c r="C9" s="25" t="n">
        <f aca="false">'Raincouver Model'!F25</f>
        <v>8512.62153471782</v>
      </c>
      <c r="D9" s="25" t="n">
        <f aca="false">'Raincouver Model'!G25</f>
        <v>16980.5957387292</v>
      </c>
      <c r="E9" s="25" t="n">
        <f aca="false">'Raincouver Model'!H25</f>
        <v>35440.3967298168</v>
      </c>
      <c r="F9" s="25" t="n">
        <f aca="false">'Raincouver Model'!I25</f>
        <v>70580.7307629383</v>
      </c>
      <c r="H9" s="4"/>
      <c r="I9" s="4"/>
    </row>
    <row r="10" customFormat="false" ht="15" hidden="false" customHeight="false" outlineLevel="0" collapsed="false">
      <c r="B10" s="0" t="s">
        <v>93</v>
      </c>
      <c r="C10" s="27"/>
      <c r="D10" s="26" t="n">
        <f aca="false">'Raincouver Model'!G25/'Raincouver Model'!F25-1</f>
        <v>0.994755160848585</v>
      </c>
      <c r="E10" s="26" t="n">
        <f aca="false">'Raincouver Model'!H25/'Raincouver Model'!G25-1</f>
        <v>1.08711150510372</v>
      </c>
      <c r="F10" s="26" t="n">
        <f aca="false">'Raincouver Model'!I25/'Raincouver Model'!H25-1</f>
        <v>0.991533314398737</v>
      </c>
      <c r="H10" s="4" t="s">
        <v>94</v>
      </c>
      <c r="I10" s="4" t="s">
        <v>91</v>
      </c>
    </row>
    <row r="11" customFormat="false" ht="15" hidden="false" customHeight="false" outlineLevel="0" collapsed="false">
      <c r="C11" s="27"/>
      <c r="D11" s="27"/>
      <c r="E11" s="27"/>
      <c r="F11" s="27"/>
      <c r="H11" s="4"/>
      <c r="I11" s="4"/>
    </row>
    <row r="12" customFormat="false" ht="15" hidden="false" customHeight="false" outlineLevel="0" collapsed="false">
      <c r="B12" s="12" t="s">
        <v>95</v>
      </c>
      <c r="C12" s="28"/>
      <c r="D12" s="28"/>
      <c r="E12" s="28"/>
      <c r="F12" s="28"/>
      <c r="G12" s="12"/>
      <c r="H12" s="17"/>
      <c r="I12" s="17"/>
    </row>
    <row r="13" customFormat="false" ht="15" hidden="false" customHeight="false" outlineLevel="0" collapsed="false">
      <c r="B13" s="0" t="s">
        <v>96</v>
      </c>
      <c r="C13" s="26" t="n">
        <f aca="false">-'Raincouver Model'!F17/'Raincouver Model'!F10</f>
        <v>0.484065070860807</v>
      </c>
      <c r="D13" s="26" t="n">
        <f aca="false">-'Raincouver Model'!G17/'Raincouver Model'!G10</f>
        <v>0.288957715488425</v>
      </c>
      <c r="E13" s="26" t="n">
        <f aca="false">-'Raincouver Model'!H17/'Raincouver Model'!H10</f>
        <v>0.287240950126492</v>
      </c>
      <c r="F13" s="26" t="n">
        <f aca="false">-'Raincouver Model'!I17/'Raincouver Model'!I10</f>
        <v>0.223593499623438</v>
      </c>
      <c r="H13" s="4" t="s">
        <v>97</v>
      </c>
      <c r="I13" s="4" t="s">
        <v>98</v>
      </c>
    </row>
    <row r="14" customFormat="false" ht="15" hidden="false" customHeight="false" outlineLevel="0" collapsed="false">
      <c r="B14" s="0" t="s">
        <v>99</v>
      </c>
      <c r="C14" s="26" t="n">
        <f aca="false">1-C13</f>
        <v>0.515934929139193</v>
      </c>
      <c r="D14" s="26" t="n">
        <f aca="false">1-D13</f>
        <v>0.711042284511575</v>
      </c>
      <c r="E14" s="26" t="n">
        <f aca="false">1-E13</f>
        <v>0.712759049873508</v>
      </c>
      <c r="F14" s="26" t="n">
        <f aca="false">1-F13</f>
        <v>0.776406500376562</v>
      </c>
      <c r="H14" s="4" t="s">
        <v>100</v>
      </c>
      <c r="I14" s="4" t="s">
        <v>98</v>
      </c>
    </row>
    <row r="15" customFormat="false" ht="15" hidden="false" customHeight="false" outlineLevel="0" collapsed="false">
      <c r="B15" s="0" t="s">
        <v>101</v>
      </c>
      <c r="C15" s="26" t="n">
        <f aca="false">('Raincouver Model'!F10+'Raincouver Model'!F13+'Raincouver Model'!F14+'Raincouver Model'!F17)/'Raincouver Model'!F10</f>
        <v>0.999252779642037</v>
      </c>
      <c r="D15" s="26" t="n">
        <f aca="false">('Raincouver Model'!G10+'Raincouver Model'!G13+'Raincouver Model'!G14+'Raincouver Model'!G17)/'Raincouver Model'!G10</f>
        <v>1.174166008365</v>
      </c>
      <c r="E15" s="26" t="n">
        <f aca="false">('Raincouver Model'!H10+'Raincouver Model'!H13+'Raincouver Model'!H14+'Raincouver Model'!H17)/'Raincouver Model'!H10</f>
        <v>1.29220256536454</v>
      </c>
      <c r="F15" s="26" t="n">
        <f aca="false">('Raincouver Model'!I10+'Raincouver Model'!I13+'Raincouver Model'!I14+'Raincouver Model'!I17)/'Raincouver Model'!I10</f>
        <v>1.28822300869607</v>
      </c>
      <c r="H15" s="4" t="s">
        <v>102</v>
      </c>
      <c r="I15" s="4" t="s">
        <v>91</v>
      </c>
    </row>
    <row r="16" customFormat="false" ht="15" hidden="false" customHeight="false" outlineLevel="0" collapsed="false">
      <c r="B16" s="0" t="s">
        <v>103</v>
      </c>
      <c r="C16" s="26" t="n">
        <f aca="false">('Raincouver Model'!F13+'Raincouver Model'!F14)/'Raincouver Model'!F10</f>
        <v>0.483317850502844</v>
      </c>
      <c r="D16" s="26" t="n">
        <f aca="false">('Raincouver Model'!G13+'Raincouver Model'!G14)/'Raincouver Model'!G10</f>
        <v>0.463123723853428</v>
      </c>
      <c r="E16" s="26" t="n">
        <f aca="false">('Raincouver Model'!H13+'Raincouver Model'!H14)/'Raincouver Model'!H10</f>
        <v>0.579443515491036</v>
      </c>
      <c r="F16" s="26" t="n">
        <f aca="false">('Raincouver Model'!I13+'Raincouver Model'!I14)/'Raincouver Model'!I10</f>
        <v>0.511816508319505</v>
      </c>
      <c r="H16" s="4"/>
      <c r="I16" s="4"/>
    </row>
    <row r="17" customFormat="false" ht="15" hidden="false" customHeight="false" outlineLevel="0" collapsed="false">
      <c r="B17" s="0" t="s">
        <v>104</v>
      </c>
      <c r="C17" s="26" t="n">
        <f aca="false">'Raincouver Model'!F12/'Raincouver Model'!F15</f>
        <v>0.634061473939505</v>
      </c>
      <c r="D17" s="26" t="n">
        <f aca="false">'Raincouver Model'!G12/'Raincouver Model'!G15</f>
        <v>0.615126587515254</v>
      </c>
      <c r="E17" s="26" t="n">
        <f aca="false">'Raincouver Model'!H12/'Raincouver Model'!H15</f>
        <v>0.600302896014295</v>
      </c>
      <c r="F17" s="26" t="n">
        <f aca="false">'Raincouver Model'!I12/'Raincouver Model'!I15</f>
        <v>0.525416936403712</v>
      </c>
      <c r="H17" s="4"/>
      <c r="I17" s="4"/>
    </row>
    <row r="18" customFormat="false" ht="15" hidden="false" customHeight="false" outlineLevel="0" collapsed="false">
      <c r="C18" s="27"/>
      <c r="D18" s="27"/>
      <c r="E18" s="27"/>
      <c r="F18" s="27"/>
      <c r="H18" s="4"/>
      <c r="I18" s="4"/>
    </row>
    <row r="19" customFormat="false" ht="15" hidden="false" customHeight="false" outlineLevel="0" collapsed="false">
      <c r="B19" s="12" t="s">
        <v>105</v>
      </c>
      <c r="C19" s="28"/>
      <c r="D19" s="28"/>
      <c r="E19" s="28"/>
      <c r="F19" s="28"/>
      <c r="G19" s="12"/>
      <c r="H19" s="17"/>
      <c r="I19" s="17"/>
    </row>
    <row r="20" customFormat="false" ht="15" hidden="false" customHeight="false" outlineLevel="0" collapsed="false">
      <c r="B20" s="0" t="s">
        <v>106</v>
      </c>
      <c r="C20" s="29" t="n">
        <f aca="false">'Raincouver Model'!F29/'Raincouver Model'!F25</f>
        <v>0.645471808685309</v>
      </c>
      <c r="D20" s="29" t="n">
        <f aca="false">'Raincouver Model'!G29/'Raincouver Model'!G25</f>
        <v>0.684107552115467</v>
      </c>
      <c r="E20" s="29" t="n">
        <f aca="false">'Raincouver Model'!H29/'Raincouver Model'!H25</f>
        <v>0.733300512511325</v>
      </c>
      <c r="F20" s="29" t="n">
        <f aca="false">'Raincouver Model'!I29/'Raincouver Model'!I25</f>
        <v>0.758543910637395</v>
      </c>
      <c r="H20" s="4" t="s">
        <v>107</v>
      </c>
      <c r="I20" s="4" t="s">
        <v>108</v>
      </c>
    </row>
    <row r="21" customFormat="false" ht="15" hidden="false" customHeight="false" outlineLevel="0" collapsed="false">
      <c r="B21" s="0" t="s">
        <v>109</v>
      </c>
      <c r="C21" s="26" t="n">
        <f aca="false">-'Raincouver Model'!F38/'Raincouver Model'!F25</f>
        <v>1.66903916968523</v>
      </c>
      <c r="D21" s="26" t="n">
        <f aca="false">-'Raincouver Model'!G38/'Raincouver Model'!G25</f>
        <v>1.51967605574189</v>
      </c>
      <c r="E21" s="26" t="n">
        <f aca="false">-'Raincouver Model'!H38/'Raincouver Model'!H25</f>
        <v>1.30175742196612</v>
      </c>
      <c r="F21" s="26" t="n">
        <f aca="false">-'Raincouver Model'!I38/'Raincouver Model'!I25</f>
        <v>0.925233397533587</v>
      </c>
      <c r="H21" s="4" t="s">
        <v>110</v>
      </c>
      <c r="I21" s="4" t="s">
        <v>98</v>
      </c>
    </row>
    <row r="22" customFormat="false" ht="29.85" hidden="false" customHeight="false" outlineLevel="0" collapsed="false">
      <c r="B22" s="0" t="s">
        <v>111</v>
      </c>
      <c r="C22" s="26" t="n">
        <f aca="false">-'Raincouver Model'!F41/'Raincouver Model'!F25</f>
        <v>0.984375330892444</v>
      </c>
      <c r="D22" s="26" t="n">
        <f aca="false">-'Raincouver Model'!G41/'Raincouver Model'!G25</f>
        <v>0.828229742792657</v>
      </c>
      <c r="E22" s="26" t="n">
        <f aca="false">-'Raincouver Model'!H41/'Raincouver Model'!H25</f>
        <v>0.62616149710206</v>
      </c>
      <c r="F22" s="26" t="n">
        <f aca="false">-'Raincouver Model'!I41/'Raincouver Model'!I25</f>
        <v>0.443081883136334</v>
      </c>
      <c r="H22" s="4" t="s">
        <v>112</v>
      </c>
      <c r="I22" s="4" t="s">
        <v>113</v>
      </c>
    </row>
    <row r="23" customFormat="false" ht="29.85" hidden="false" customHeight="false" outlineLevel="0" collapsed="false">
      <c r="B23" s="0" t="s">
        <v>114</v>
      </c>
      <c r="C23" s="26" t="n">
        <f aca="false">-'Raincouver Model'!F44/'Raincouver Model'!F25</f>
        <v>0.362300899602044</v>
      </c>
      <c r="D23" s="26" t="n">
        <f aca="false">-'Raincouver Model'!G44/'Raincouver Model'!G25</f>
        <v>0.365231874530893</v>
      </c>
      <c r="E23" s="26" t="n">
        <f aca="false">-'Raincouver Model'!H44/'Raincouver Model'!H25</f>
        <v>0.228136962208103</v>
      </c>
      <c r="F23" s="26" t="n">
        <f aca="false">-'Raincouver Model'!I44/'Raincouver Model'!I25</f>
        <v>0.20754551810191</v>
      </c>
      <c r="H23" s="4" t="s">
        <v>115</v>
      </c>
      <c r="I23" s="4" t="s">
        <v>116</v>
      </c>
    </row>
    <row r="24" customFormat="false" ht="15" hidden="false" customHeight="false" outlineLevel="0" collapsed="false">
      <c r="B24" s="0" t="s">
        <v>117</v>
      </c>
      <c r="C24" s="26" t="n">
        <f aca="false">'Raincouver Model'!F50/'Raincouver Model'!F25</f>
        <v>-2.37024359149441</v>
      </c>
      <c r="D24" s="26" t="n">
        <f aca="false">'Raincouver Model'!G50/'Raincouver Model'!G25</f>
        <v>-2.02903012094997</v>
      </c>
      <c r="E24" s="26" t="n">
        <f aca="false">'Raincouver Model'!H50/'Raincouver Model'!H25</f>
        <v>-1.42275536876496</v>
      </c>
      <c r="F24" s="26" t="n">
        <f aca="false">'Raincouver Model'!I50/'Raincouver Model'!I25</f>
        <v>-0.817316888134437</v>
      </c>
      <c r="H24" s="4" t="s">
        <v>118</v>
      </c>
      <c r="I24" s="4" t="s">
        <v>98</v>
      </c>
    </row>
    <row r="25" customFormat="false" ht="15" hidden="false" customHeight="false" outlineLevel="0" collapsed="false">
      <c r="B25" s="0" t="s">
        <v>119</v>
      </c>
      <c r="C25" s="27"/>
      <c r="D25" s="26" t="n">
        <f aca="false">D10+D24</f>
        <v>-1.03427496010139</v>
      </c>
      <c r="E25" s="26" t="n">
        <f aca="false">E10+E24</f>
        <v>-0.335643863661243</v>
      </c>
      <c r="F25" s="26" t="n">
        <f aca="false">F10+F24</f>
        <v>0.1742164262643</v>
      </c>
      <c r="H25" s="4" t="s">
        <v>120</v>
      </c>
      <c r="I25" s="4" t="s">
        <v>121</v>
      </c>
    </row>
    <row r="26" customFormat="false" ht="15" hidden="false" customHeight="false" outlineLevel="0" collapsed="false">
      <c r="C26" s="27"/>
      <c r="D26" s="27"/>
      <c r="E26" s="27"/>
      <c r="F26" s="27"/>
      <c r="H26" s="4"/>
      <c r="I26" s="4"/>
    </row>
    <row r="27" customFormat="false" ht="15" hidden="false" customHeight="false" outlineLevel="0" collapsed="false">
      <c r="B27" s="12" t="s">
        <v>122</v>
      </c>
      <c r="C27" s="28"/>
      <c r="D27" s="28"/>
      <c r="E27" s="28"/>
      <c r="F27" s="28"/>
      <c r="G27" s="12"/>
      <c r="H27" s="17"/>
      <c r="I27" s="17"/>
    </row>
    <row r="28" customFormat="false" ht="15" hidden="false" customHeight="false" outlineLevel="0" collapsed="false">
      <c r="B28" s="0" t="s">
        <v>123</v>
      </c>
      <c r="C28" s="25" t="n">
        <f aca="false">-'Raincouver Model'!F50</f>
        <v>20176.9866394822</v>
      </c>
      <c r="D28" s="25" t="n">
        <f aca="false">-'Raincouver Model'!G50</f>
        <v>34454.1402255563</v>
      </c>
      <c r="E28" s="25" t="n">
        <f aca="false">-'Raincouver Model'!H50</f>
        <v>50423.0147185071</v>
      </c>
      <c r="F28" s="25" t="n">
        <f aca="false">-'Raincouver Model'!I50</f>
        <v>57686.8232294192</v>
      </c>
      <c r="H28" s="4"/>
      <c r="I28" s="4"/>
    </row>
    <row r="29" customFormat="false" ht="15" hidden="false" customHeight="false" outlineLevel="0" collapsed="false">
      <c r="B29" s="0" t="s">
        <v>124</v>
      </c>
      <c r="C29" s="25" t="n">
        <f aca="false">'Raincouver Model'!F18</f>
        <v>6619.941</v>
      </c>
      <c r="D29" s="25" t="n">
        <f aca="false">'Raincouver Model'!G18</f>
        <v>13287.3684161057</v>
      </c>
      <c r="E29" s="25" t="n">
        <f aca="false">'Raincouver Model'!H18</f>
        <v>32338.9789893638</v>
      </c>
      <c r="F29" s="25" t="n">
        <f aca="false">'Raincouver Model'!I18</f>
        <v>51427</v>
      </c>
      <c r="H29" s="4"/>
      <c r="I29" s="4"/>
    </row>
    <row r="30" customFormat="false" ht="29.85" hidden="false" customHeight="false" outlineLevel="0" collapsed="false">
      <c r="B30" s="0" t="s">
        <v>125</v>
      </c>
      <c r="C30" s="30" t="n">
        <f aca="false">C28/C29</f>
        <v>3.04791034232513</v>
      </c>
      <c r="D30" s="30" t="n">
        <f aca="false">D28/D29</f>
        <v>2.59299954261781</v>
      </c>
      <c r="E30" s="30" t="n">
        <f aca="false">E28/E29</f>
        <v>1.5592024329244</v>
      </c>
      <c r="F30" s="30" t="n">
        <f aca="false">F28/F29</f>
        <v>1.12172250431523</v>
      </c>
      <c r="H30" s="4" t="s">
        <v>126</v>
      </c>
      <c r="I30" s="4" t="s">
        <v>127</v>
      </c>
    </row>
    <row r="31" customFormat="false" ht="15" hidden="false" customHeight="false" outlineLevel="0" collapsed="false">
      <c r="B31" s="0" t="s">
        <v>128</v>
      </c>
      <c r="C31" s="31" t="n">
        <f aca="false">'Raincouver Model'!F15/-'Raincouver Model'!F38</f>
        <v>0.735496442026361</v>
      </c>
      <c r="D31" s="31" t="n">
        <f aca="false">'Raincouver Model'!G15/-'Raincouver Model'!G38</f>
        <v>0.677639169788491</v>
      </c>
      <c r="E31" s="31" t="n">
        <f aca="false">'Raincouver Model'!H15/-'Raincouver Model'!H38</f>
        <v>0.874173540140302</v>
      </c>
      <c r="F31" s="31" t="n">
        <f aca="false">'Raincouver Model'!I15/-'Raincouver Model'!I38</f>
        <v>0.993481997888301</v>
      </c>
      <c r="H31" s="4" t="s">
        <v>129</v>
      </c>
      <c r="I31" s="4" t="s">
        <v>130</v>
      </c>
    </row>
    <row r="32" customFormat="false" ht="29.85" hidden="false" customHeight="false" outlineLevel="0" collapsed="false">
      <c r="B32" s="0" t="s">
        <v>131</v>
      </c>
      <c r="C32" s="32" t="n">
        <f aca="false">-'Raincouver Model'!F38/('Raincouver Model'!F15*C20)*12</f>
        <v>25.2768755903916</v>
      </c>
      <c r="D32" s="32" t="n">
        <f aca="false">-'Raincouver Model'!G38/('Raincouver Model'!G15*D20)*12</f>
        <v>25.8856073696891</v>
      </c>
      <c r="E32" s="32" t="n">
        <f aca="false">-'Raincouver Model'!H38/('Raincouver Model'!H15*E20)*12</f>
        <v>18.7198170734368</v>
      </c>
      <c r="F32" s="32" t="n">
        <f aca="false">-'Raincouver Model'!I38/('Raincouver Model'!I15*F20)*12</f>
        <v>15.9235727990584</v>
      </c>
      <c r="H32" s="4" t="s">
        <v>132</v>
      </c>
      <c r="I32" s="4" t="s">
        <v>133</v>
      </c>
    </row>
    <row r="35" customFormat="false" ht="15" hidden="false" customHeight="false" outlineLevel="0" collapsed="false">
      <c r="B35" s="12" t="s">
        <v>134</v>
      </c>
      <c r="C35" s="12"/>
      <c r="D35" s="12"/>
      <c r="E35" s="12"/>
      <c r="F35" s="12"/>
      <c r="G35" s="12"/>
      <c r="H35" s="12"/>
      <c r="I35" s="12"/>
    </row>
    <row r="36" customFormat="false" ht="31.5" hidden="false" customHeight="true" outlineLevel="0" collapsed="false">
      <c r="B36" s="11" t="s">
        <v>135</v>
      </c>
      <c r="C36" s="11"/>
      <c r="D36" s="11"/>
      <c r="E36" s="11"/>
      <c r="F36" s="11"/>
      <c r="G36" s="11"/>
      <c r="H36" s="11"/>
      <c r="I36" s="11"/>
    </row>
    <row r="37" customFormat="false" ht="31.5" hidden="false" customHeight="true" outlineLevel="0" collapsed="false">
      <c r="B37" s="11" t="s">
        <v>136</v>
      </c>
      <c r="C37" s="11"/>
      <c r="D37" s="11"/>
      <c r="E37" s="11"/>
      <c r="F37" s="11"/>
      <c r="G37" s="11"/>
      <c r="H37" s="11"/>
      <c r="I37" s="11"/>
    </row>
    <row r="38" customFormat="false" ht="31.5" hidden="false" customHeight="true" outlineLevel="0" collapsed="false">
      <c r="B38" s="11" t="s">
        <v>137</v>
      </c>
      <c r="C38" s="11"/>
      <c r="D38" s="11"/>
      <c r="E38" s="11"/>
      <c r="F38" s="11"/>
      <c r="G38" s="11"/>
      <c r="H38" s="11"/>
      <c r="I38" s="11"/>
    </row>
    <row r="39" customFormat="false" ht="31.5" hidden="false" customHeight="true" outlineLevel="0" collapsed="false">
      <c r="B39" s="11" t="s">
        <v>138</v>
      </c>
      <c r="C39" s="11"/>
      <c r="D39" s="11"/>
      <c r="E39" s="11"/>
      <c r="F39" s="11"/>
      <c r="G39" s="11"/>
      <c r="H39" s="11"/>
      <c r="I39" s="11"/>
    </row>
    <row r="40" customFormat="false" ht="31.5" hidden="false" customHeight="true" outlineLevel="0" collapsed="false">
      <c r="B40" s="11" t="s">
        <v>139</v>
      </c>
      <c r="C40" s="11"/>
      <c r="D40" s="11"/>
      <c r="E40" s="11"/>
      <c r="F40" s="11"/>
      <c r="G40" s="11"/>
      <c r="H40" s="11"/>
      <c r="I40" s="11"/>
    </row>
    <row r="41" customFormat="false" ht="31.5" hidden="false" customHeight="true" outlineLevel="0" collapsed="false">
      <c r="B41" s="11" t="s">
        <v>140</v>
      </c>
      <c r="C41" s="11"/>
      <c r="D41" s="11"/>
      <c r="E41" s="11"/>
      <c r="F41" s="11"/>
      <c r="G41" s="11"/>
      <c r="H41" s="11"/>
      <c r="I41" s="11"/>
    </row>
    <row r="43" customFormat="false" ht="15" hidden="false" customHeight="false" outlineLevel="0" collapsed="false">
      <c r="B43" s="12" t="s">
        <v>141</v>
      </c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B44" s="33" t="s">
        <v>142</v>
      </c>
      <c r="C44" s="33"/>
      <c r="D44" s="33"/>
      <c r="E44" s="33"/>
      <c r="F44" s="33"/>
      <c r="G44" s="33"/>
      <c r="H44" s="33"/>
      <c r="I44" s="33"/>
    </row>
    <row r="45" customFormat="false" ht="15" hidden="false" customHeight="false" outlineLevel="0" collapsed="false">
      <c r="B45" s="33" t="s">
        <v>143</v>
      </c>
      <c r="C45" s="33"/>
      <c r="D45" s="33"/>
      <c r="E45" s="33"/>
      <c r="F45" s="33"/>
      <c r="G45" s="33"/>
      <c r="H45" s="33"/>
      <c r="I45" s="33"/>
    </row>
    <row r="46" customFormat="false" ht="15" hidden="false" customHeight="false" outlineLevel="0" collapsed="false">
      <c r="B46" s="33" t="s">
        <v>144</v>
      </c>
      <c r="C46" s="33"/>
      <c r="D46" s="33"/>
      <c r="E46" s="33"/>
      <c r="F46" s="33"/>
      <c r="G46" s="33"/>
      <c r="H46" s="33"/>
      <c r="I46" s="33"/>
    </row>
    <row r="47" customFormat="false" ht="15" hidden="false" customHeight="false" outlineLevel="0" collapsed="false">
      <c r="B47" s="33" t="s">
        <v>145</v>
      </c>
      <c r="C47" s="33"/>
      <c r="D47" s="33"/>
      <c r="E47" s="33"/>
      <c r="F47" s="33"/>
      <c r="G47" s="33"/>
      <c r="H47" s="33"/>
      <c r="I47" s="33"/>
    </row>
    <row r="48" customFormat="false" ht="15" hidden="false" customHeight="false" outlineLevel="0" collapsed="false">
      <c r="B48" s="33" t="s">
        <v>146</v>
      </c>
      <c r="C48" s="33"/>
      <c r="D48" s="33"/>
      <c r="E48" s="33"/>
      <c r="F48" s="33"/>
      <c r="G48" s="33"/>
      <c r="H48" s="33"/>
      <c r="I48" s="33"/>
    </row>
  </sheetData>
  <mergeCells count="11">
    <mergeCell ref="B36:I36"/>
    <mergeCell ref="B37:I37"/>
    <mergeCell ref="B38:I38"/>
    <mergeCell ref="B39:I39"/>
    <mergeCell ref="B40:I40"/>
    <mergeCell ref="B41:I41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2" activeCellId="0" sqref="E72"/>
    </sheetView>
  </sheetViews>
  <sheetFormatPr defaultColWidth="11.16796875" defaultRowHeight="15" zeroHeight="false" outlineLevelRow="0" outlineLevelCol="0"/>
  <cols>
    <col collapsed="false" customWidth="true" hidden="false" outlineLevel="0" max="1" min="1" style="0" width="1.33"/>
    <col collapsed="false" customWidth="true" hidden="false" outlineLevel="0" max="2" min="2" style="0" width="11.84"/>
    <col collapsed="false" customWidth="true" hidden="false" outlineLevel="0" max="3" min="3" style="0" width="9.33"/>
    <col collapsed="false" customWidth="true" hidden="false" outlineLevel="0" max="4" min="4" style="0" width="4.84"/>
    <col collapsed="false" customWidth="true" hidden="false" outlineLevel="0" max="5" min="5" style="0" width="7.16"/>
    <col collapsed="false" customWidth="true" hidden="false" outlineLevel="0" max="8" min="6" style="0" width="10"/>
    <col collapsed="false" customWidth="true" hidden="false" outlineLevel="0" max="9" min="9" style="0" width="9.66"/>
    <col collapsed="false" customWidth="true" hidden="false" outlineLevel="0" max="10" min="10" style="0" width="5.33"/>
    <col collapsed="false" customWidth="true" hidden="false" outlineLevel="0" max="22" min="11" style="0" width="10"/>
    <col collapsed="false" customWidth="true" hidden="false" outlineLevel="0" max="26" min="23" style="0" width="9.66"/>
    <col collapsed="false" customWidth="true" hidden="false" outlineLevel="0" max="27" min="27" style="0" width="8.66"/>
  </cols>
  <sheetData>
    <row r="1" customFormat="false" ht="16.5" hidden="false" customHeight="true" outlineLevel="0" collapsed="false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5"/>
    </row>
    <row r="2" customFormat="false" ht="22.5" hidden="false" customHeight="true" outlineLevel="0" collapsed="false">
      <c r="A2" s="34"/>
      <c r="B2" s="36" t="s">
        <v>147</v>
      </c>
      <c r="C2" s="37"/>
      <c r="D2" s="34"/>
      <c r="E2" s="34"/>
      <c r="F2" s="34"/>
      <c r="G2" s="34"/>
      <c r="H2" s="38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5"/>
    </row>
    <row r="3" customFormat="false" ht="16.5" hidden="false" customHeight="true" outlineLevel="0" collapsed="false">
      <c r="A3" s="34"/>
      <c r="B3" s="39" t="s">
        <v>148</v>
      </c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5"/>
    </row>
    <row r="4" customFormat="false" ht="16.5" hidden="false" customHeight="true" outlineLevel="0" collapsed="false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5"/>
    </row>
    <row r="5" customFormat="false" ht="16.5" hidden="false" customHeight="true" outlineLevel="0" collapsed="false">
      <c r="A5" s="40"/>
      <c r="B5" s="40"/>
      <c r="C5" s="40"/>
      <c r="D5" s="40"/>
      <c r="E5" s="40"/>
      <c r="F5" s="41" t="s">
        <v>149</v>
      </c>
      <c r="G5" s="42" t="s">
        <v>150</v>
      </c>
      <c r="H5" s="43" t="s">
        <v>151</v>
      </c>
      <c r="I5" s="43" t="s">
        <v>152</v>
      </c>
      <c r="J5" s="40"/>
      <c r="K5" s="43" t="s">
        <v>149</v>
      </c>
      <c r="L5" s="43"/>
      <c r="M5" s="43"/>
      <c r="N5" s="43"/>
      <c r="O5" s="44" t="s">
        <v>150</v>
      </c>
      <c r="P5" s="44"/>
      <c r="Q5" s="44"/>
      <c r="R5" s="44"/>
      <c r="S5" s="43" t="s">
        <v>151</v>
      </c>
      <c r="T5" s="43"/>
      <c r="U5" s="43"/>
      <c r="V5" s="43"/>
      <c r="W5" s="43" t="s">
        <v>152</v>
      </c>
      <c r="X5" s="43"/>
      <c r="Y5" s="43"/>
      <c r="Z5" s="43"/>
      <c r="AA5" s="45"/>
    </row>
    <row r="6" customFormat="false" ht="16.5" hidden="false" customHeight="true" outlineLevel="0" collapsed="false">
      <c r="A6" s="34"/>
      <c r="B6" s="34"/>
      <c r="C6" s="34"/>
      <c r="D6" s="34"/>
      <c r="E6" s="34"/>
      <c r="F6" s="46" t="s">
        <v>80</v>
      </c>
      <c r="G6" s="47" t="s">
        <v>81</v>
      </c>
      <c r="H6" s="47" t="s">
        <v>82</v>
      </c>
      <c r="I6" s="47" t="s">
        <v>83</v>
      </c>
      <c r="J6" s="34"/>
      <c r="K6" s="48" t="s">
        <v>153</v>
      </c>
      <c r="L6" s="49" t="s">
        <v>154</v>
      </c>
      <c r="M6" s="49" t="s">
        <v>155</v>
      </c>
      <c r="N6" s="50" t="s">
        <v>156</v>
      </c>
      <c r="O6" s="48" t="s">
        <v>157</v>
      </c>
      <c r="P6" s="49" t="s">
        <v>158</v>
      </c>
      <c r="Q6" s="49" t="s">
        <v>159</v>
      </c>
      <c r="R6" s="50" t="s">
        <v>160</v>
      </c>
      <c r="S6" s="48" t="s">
        <v>161</v>
      </c>
      <c r="T6" s="49" t="s">
        <v>162</v>
      </c>
      <c r="U6" s="49" t="s">
        <v>163</v>
      </c>
      <c r="V6" s="50" t="s">
        <v>164</v>
      </c>
      <c r="W6" s="51" t="s">
        <v>165</v>
      </c>
      <c r="X6" s="52" t="s">
        <v>166</v>
      </c>
      <c r="Y6" s="52" t="s">
        <v>167</v>
      </c>
      <c r="Z6" s="53" t="s">
        <v>168</v>
      </c>
      <c r="AA6" s="35"/>
    </row>
    <row r="7" customFormat="false" ht="16.5" hidden="false" customHeight="true" outlineLevel="0" collapsed="false">
      <c r="A7" s="34"/>
      <c r="B7" s="34"/>
      <c r="C7" s="34"/>
      <c r="D7" s="34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customFormat="false" ht="17.25" hidden="false" customHeight="true" outlineLevel="0" collapsed="false">
      <c r="A8" s="54" t="s">
        <v>169</v>
      </c>
      <c r="B8" s="55" t="s">
        <v>170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7"/>
      <c r="AA8" s="35"/>
    </row>
    <row r="9" customFormat="false" ht="16.5" hidden="false" customHeight="true" outlineLevel="0" collapsed="false">
      <c r="A9" s="34"/>
      <c r="B9" s="58"/>
      <c r="C9" s="34"/>
      <c r="D9" s="34"/>
      <c r="E9" s="34"/>
      <c r="F9" s="35"/>
      <c r="G9" s="35"/>
      <c r="H9" s="35"/>
      <c r="I9" s="35"/>
      <c r="J9" s="34"/>
      <c r="K9" s="59"/>
      <c r="L9" s="60"/>
      <c r="M9" s="60"/>
      <c r="N9" s="60"/>
      <c r="O9" s="59"/>
      <c r="P9" s="60"/>
      <c r="Q9" s="60"/>
      <c r="R9" s="60"/>
      <c r="S9" s="59"/>
      <c r="T9" s="60"/>
      <c r="U9" s="60"/>
      <c r="V9" s="60"/>
      <c r="W9" s="59"/>
      <c r="X9" s="60"/>
      <c r="Y9" s="60"/>
      <c r="Z9" s="61"/>
      <c r="AA9" s="35"/>
    </row>
    <row r="10" customFormat="false" ht="16.5" hidden="false" customHeight="true" outlineLevel="0" collapsed="false">
      <c r="A10" s="34"/>
      <c r="B10" s="62" t="s">
        <v>87</v>
      </c>
      <c r="C10" s="63"/>
      <c r="D10" s="63"/>
      <c r="E10" s="63"/>
      <c r="F10" s="64" t="n">
        <f aca="false">K10</f>
        <v>7911.99</v>
      </c>
      <c r="G10" s="64" t="n">
        <f aca="false">F20</f>
        <v>14531.931</v>
      </c>
      <c r="H10" s="64" t="n">
        <f aca="false">G20</f>
        <v>27819.2994161057</v>
      </c>
      <c r="I10" s="64" t="n">
        <f aca="false">H20</f>
        <v>60158.2784054694</v>
      </c>
      <c r="J10" s="63"/>
      <c r="K10" s="65" t="n">
        <v>7911.99</v>
      </c>
      <c r="L10" s="64" t="n">
        <f aca="false">K20</f>
        <v>8879.115</v>
      </c>
      <c r="M10" s="64" t="n">
        <f aca="false">L20</f>
        <v>9659.273</v>
      </c>
      <c r="N10" s="64" t="n">
        <f aca="false">M20</f>
        <v>11020.71</v>
      </c>
      <c r="O10" s="65" t="n">
        <f aca="false">N20</f>
        <v>14531.931</v>
      </c>
      <c r="P10" s="64" t="n">
        <f aca="false">O20</f>
        <v>16999.707274512</v>
      </c>
      <c r="Q10" s="64" t="n">
        <f aca="false">P20</f>
        <v>19727.8159615339</v>
      </c>
      <c r="R10" s="64" t="n">
        <f aca="false">Q20</f>
        <v>23403.984992723</v>
      </c>
      <c r="S10" s="65" t="n">
        <f aca="false">R20</f>
        <v>27819.2994161057</v>
      </c>
      <c r="T10" s="64" t="n">
        <f aca="false">S20</f>
        <v>33307.0340901945</v>
      </c>
      <c r="U10" s="64" t="n">
        <f aca="false">T20</f>
        <v>40496.8314299461</v>
      </c>
      <c r="V10" s="64" t="n">
        <f aca="false">U20</f>
        <v>49600.998593172</v>
      </c>
      <c r="W10" s="65" t="n">
        <f aca="false">V20</f>
        <v>60158.2784054694</v>
      </c>
      <c r="X10" s="64" t="n">
        <f aca="false">W20</f>
        <v>71910.2784054694</v>
      </c>
      <c r="Y10" s="64" t="n">
        <f aca="false">X20</f>
        <v>84316.2784054694</v>
      </c>
      <c r="Z10" s="66" t="n">
        <f aca="false">Y20</f>
        <v>97760.2784054694</v>
      </c>
      <c r="AA10" s="35"/>
    </row>
    <row r="11" customFormat="false" ht="11.25" hidden="false" customHeight="true" outlineLevel="0" collapsed="false">
      <c r="A11" s="67"/>
      <c r="B11" s="58"/>
      <c r="C11" s="34"/>
      <c r="D11" s="34"/>
      <c r="E11" s="34"/>
      <c r="F11" s="68"/>
      <c r="G11" s="68"/>
      <c r="H11" s="68"/>
      <c r="I11" s="34"/>
      <c r="J11" s="34"/>
      <c r="K11" s="69"/>
      <c r="L11" s="68"/>
      <c r="M11" s="68"/>
      <c r="N11" s="68"/>
      <c r="O11" s="69"/>
      <c r="P11" s="68"/>
      <c r="Q11" s="68"/>
      <c r="R11" s="68"/>
      <c r="S11" s="69"/>
      <c r="T11" s="68"/>
      <c r="U11" s="68"/>
      <c r="V11" s="68"/>
      <c r="W11" s="69"/>
      <c r="X11" s="68"/>
      <c r="Y11" s="68"/>
      <c r="Z11" s="70"/>
      <c r="AA11" s="35"/>
    </row>
    <row r="12" customFormat="false" ht="16.5" hidden="false" customHeight="true" outlineLevel="0" collapsed="false">
      <c r="A12" s="34"/>
      <c r="B12" s="58" t="s">
        <v>171</v>
      </c>
      <c r="C12" s="34"/>
      <c r="D12" s="34"/>
      <c r="E12" s="34"/>
      <c r="F12" s="71" t="n">
        <f aca="false">SUM(K12:N12)</f>
        <v>6625.853</v>
      </c>
      <c r="G12" s="71" t="n">
        <f aca="false">SUM(O12:R12)</f>
        <v>10756.4</v>
      </c>
      <c r="H12" s="71" t="n">
        <f aca="false">SUM(S12:V12)</f>
        <v>24210.1083333333</v>
      </c>
      <c r="I12" s="71" t="n">
        <f aca="false">SUM(W12:Z12)</f>
        <v>34088</v>
      </c>
      <c r="J12" s="71"/>
      <c r="K12" s="72" t="n">
        <v>1111.923</v>
      </c>
      <c r="L12" s="71" t="n">
        <v>1117.658</v>
      </c>
      <c r="M12" s="71" t="n">
        <v>1859.579</v>
      </c>
      <c r="N12" s="71" t="n">
        <v>2536.693</v>
      </c>
      <c r="O12" s="72" t="n">
        <v>2215</v>
      </c>
      <c r="P12" s="71" t="n">
        <v>2231.1875</v>
      </c>
      <c r="Q12" s="71" t="n">
        <v>2871.75</v>
      </c>
      <c r="R12" s="71" t="n">
        <v>3438.4625</v>
      </c>
      <c r="S12" s="72" t="n">
        <v>4273.08333333333</v>
      </c>
      <c r="T12" s="71" t="n">
        <v>5534.175</v>
      </c>
      <c r="U12" s="71" t="n">
        <v>6758.475</v>
      </c>
      <c r="V12" s="71" t="n">
        <v>7644.375</v>
      </c>
      <c r="W12" s="72" t="n">
        <v>8105</v>
      </c>
      <c r="X12" s="71" t="n">
        <v>8374</v>
      </c>
      <c r="Y12" s="71" t="n">
        <v>8656</v>
      </c>
      <c r="Z12" s="73" t="n">
        <v>8953</v>
      </c>
      <c r="AA12" s="35"/>
    </row>
    <row r="13" customFormat="false" ht="16.5" hidden="false" customHeight="true" outlineLevel="0" collapsed="false">
      <c r="A13" s="34"/>
      <c r="B13" s="58" t="s">
        <v>172</v>
      </c>
      <c r="C13" s="34"/>
      <c r="D13" s="34"/>
      <c r="E13" s="34"/>
      <c r="F13" s="68" t="n">
        <f aca="false">SUM(K13:N13)</f>
        <v>2018.771</v>
      </c>
      <c r="G13" s="68" t="n">
        <f aca="false">SUM(O13:R13)</f>
        <v>4136.06472819984</v>
      </c>
      <c r="H13" s="68" t="n">
        <f aca="false">SUM(S13:V13)</f>
        <v>9874.60511725097</v>
      </c>
      <c r="I13" s="68" t="n">
        <f aca="false">SUM(W13:Z13)</f>
        <v>16340</v>
      </c>
      <c r="J13" s="34"/>
      <c r="K13" s="69" t="n">
        <v>246.343</v>
      </c>
      <c r="L13" s="68" t="n">
        <v>308.838</v>
      </c>
      <c r="M13" s="68" t="n">
        <v>370.216</v>
      </c>
      <c r="N13" s="68" t="n">
        <v>1093.374</v>
      </c>
      <c r="O13" s="69" t="n">
        <v>639.72760281175</v>
      </c>
      <c r="P13" s="68" t="n">
        <v>900.579672667408</v>
      </c>
      <c r="Q13" s="68" t="n">
        <v>1268.05623127419</v>
      </c>
      <c r="R13" s="68" t="n">
        <v>1327.70122144649</v>
      </c>
      <c r="S13" s="69" t="n">
        <v>1796.68756670378</v>
      </c>
      <c r="T13" s="68" t="n">
        <v>2066.27240090521</v>
      </c>
      <c r="U13" s="68" t="n">
        <v>2668.8603798677</v>
      </c>
      <c r="V13" s="68" t="n">
        <v>3342.78476977427</v>
      </c>
      <c r="W13" s="69" t="n">
        <v>3571</v>
      </c>
      <c r="X13" s="68" t="n">
        <v>4061</v>
      </c>
      <c r="Y13" s="68" t="n">
        <v>4370</v>
      </c>
      <c r="Z13" s="70" t="n">
        <v>4338</v>
      </c>
      <c r="AA13" s="35"/>
    </row>
    <row r="14" customFormat="false" ht="16.5" hidden="false" customHeight="true" outlineLevel="0" collapsed="false">
      <c r="A14" s="34"/>
      <c r="B14" s="58" t="s">
        <v>173</v>
      </c>
      <c r="C14" s="34"/>
      <c r="D14" s="34"/>
      <c r="E14" s="34"/>
      <c r="F14" s="68" t="n">
        <f aca="false">SUM(K14:N14)</f>
        <v>1805.235</v>
      </c>
      <c r="G14" s="68" t="n">
        <f aca="false">SUM(O14:R14)</f>
        <v>2594.01727130124</v>
      </c>
      <c r="H14" s="68" t="n">
        <f aca="false">SUM(S14:V14)</f>
        <v>6245.10753491501</v>
      </c>
      <c r="I14" s="68" t="n">
        <f aca="false">SUM(W14:Z14)</f>
        <v>14450</v>
      </c>
      <c r="J14" s="34"/>
      <c r="K14" s="69" t="n">
        <v>424.592</v>
      </c>
      <c r="L14" s="68" t="n">
        <v>302.602</v>
      </c>
      <c r="M14" s="68" t="n">
        <v>275.049</v>
      </c>
      <c r="N14" s="68" t="n">
        <v>802.992</v>
      </c>
      <c r="O14" s="69" t="n">
        <v>477.988430850673</v>
      </c>
      <c r="P14" s="68" t="n">
        <v>557.088262647128</v>
      </c>
      <c r="Q14" s="68" t="n">
        <v>627.597935728738</v>
      </c>
      <c r="R14" s="68" t="n">
        <v>931.342642074697</v>
      </c>
      <c r="S14" s="69" t="n">
        <v>1077.43605449868</v>
      </c>
      <c r="T14" s="68" t="n">
        <v>1363.74397257058</v>
      </c>
      <c r="U14" s="68" t="n">
        <v>1776.13039627302</v>
      </c>
      <c r="V14" s="68" t="n">
        <v>2027.79711157273</v>
      </c>
      <c r="W14" s="69" t="n">
        <v>2783</v>
      </c>
      <c r="X14" s="68" t="n">
        <v>2959</v>
      </c>
      <c r="Y14" s="68" t="n">
        <v>4008</v>
      </c>
      <c r="Z14" s="70" t="n">
        <v>4700</v>
      </c>
      <c r="AA14" s="35"/>
    </row>
    <row r="15" customFormat="false" ht="16.5" hidden="false" customHeight="true" outlineLevel="0" collapsed="false">
      <c r="A15" s="34"/>
      <c r="B15" s="74" t="s">
        <v>174</v>
      </c>
      <c r="C15" s="75"/>
      <c r="D15" s="75"/>
      <c r="E15" s="75"/>
      <c r="F15" s="75" t="n">
        <f aca="false">SUM(F12:F14)</f>
        <v>10449.859</v>
      </c>
      <c r="G15" s="75" t="n">
        <f aca="false">SUM(G12:G14)</f>
        <v>17486.4819995011</v>
      </c>
      <c r="H15" s="75" t="n">
        <f aca="false">SUM(H12:H14)</f>
        <v>40329.8209854993</v>
      </c>
      <c r="I15" s="75" t="n">
        <f aca="false">SUM(I12:I14)</f>
        <v>64878</v>
      </c>
      <c r="J15" s="75"/>
      <c r="K15" s="76" t="n">
        <f aca="false">SUM(K12:K14)</f>
        <v>1782.858</v>
      </c>
      <c r="L15" s="75" t="n">
        <f aca="false">SUM(L12:L14)</f>
        <v>1729.098</v>
      </c>
      <c r="M15" s="75" t="n">
        <f aca="false">SUM(M12:M14)</f>
        <v>2504.844</v>
      </c>
      <c r="N15" s="75" t="n">
        <f aca="false">SUM(N12:N14)</f>
        <v>4433.059</v>
      </c>
      <c r="O15" s="76" t="n">
        <f aca="false">SUM(O12:O14)</f>
        <v>3332.71603366242</v>
      </c>
      <c r="P15" s="75" t="n">
        <f aca="false">SUM(P12:P14)</f>
        <v>3688.85543531454</v>
      </c>
      <c r="Q15" s="75" t="n">
        <f aca="false">SUM(Q12:Q14)</f>
        <v>4767.40416700292</v>
      </c>
      <c r="R15" s="75" t="n">
        <f aca="false">SUM(R12:R14)</f>
        <v>5697.50636352119</v>
      </c>
      <c r="S15" s="76" t="n">
        <f aca="false">SUM(S12:S14)</f>
        <v>7147.2069545358</v>
      </c>
      <c r="T15" s="75" t="n">
        <f aca="false">SUM(T12:T14)</f>
        <v>8964.19137347579</v>
      </c>
      <c r="U15" s="75" t="n">
        <f aca="false">SUM(U12:U14)</f>
        <v>11203.4657761407</v>
      </c>
      <c r="V15" s="75" t="n">
        <f aca="false">SUM(V12:V14)</f>
        <v>13014.956881347</v>
      </c>
      <c r="W15" s="76" t="n">
        <f aca="false">SUM(W12:W14)</f>
        <v>14459</v>
      </c>
      <c r="X15" s="75" t="n">
        <f aca="false">SUM(X12:X14)</f>
        <v>15394</v>
      </c>
      <c r="Y15" s="75" t="n">
        <f aca="false">SUM(Y12:Y14)</f>
        <v>17034</v>
      </c>
      <c r="Z15" s="77" t="n">
        <f aca="false">SUM(Z12:Z14)</f>
        <v>17991</v>
      </c>
      <c r="AA15" s="35"/>
    </row>
    <row r="16" customFormat="false" ht="11.25" hidden="false" customHeight="true" outlineLevel="0" collapsed="false">
      <c r="A16" s="67"/>
      <c r="B16" s="58"/>
      <c r="C16" s="34"/>
      <c r="D16" s="34"/>
      <c r="E16" s="34"/>
      <c r="F16" s="68"/>
      <c r="G16" s="68"/>
      <c r="H16" s="68"/>
      <c r="I16" s="34"/>
      <c r="J16" s="34"/>
      <c r="K16" s="69"/>
      <c r="L16" s="68"/>
      <c r="M16" s="68"/>
      <c r="N16" s="68"/>
      <c r="O16" s="69"/>
      <c r="P16" s="68"/>
      <c r="Q16" s="68"/>
      <c r="R16" s="68"/>
      <c r="S16" s="69"/>
      <c r="T16" s="68"/>
      <c r="U16" s="68"/>
      <c r="V16" s="68"/>
      <c r="W16" s="69"/>
      <c r="X16" s="68"/>
      <c r="Y16" s="68"/>
      <c r="Z16" s="70"/>
      <c r="AA16" s="35"/>
    </row>
    <row r="17" customFormat="false" ht="16.5" hidden="false" customHeight="true" outlineLevel="0" collapsed="false">
      <c r="A17" s="34"/>
      <c r="B17" s="58" t="s">
        <v>175</v>
      </c>
      <c r="C17" s="34"/>
      <c r="D17" s="34"/>
      <c r="E17" s="34"/>
      <c r="F17" s="68" t="n">
        <f aca="false">SUM(K17:N17)</f>
        <v>-3829.918</v>
      </c>
      <c r="G17" s="68" t="n">
        <f aca="false">SUM(O17:R17)</f>
        <v>-4199.11358339542</v>
      </c>
      <c r="H17" s="68" t="n">
        <f aca="false">SUM(S17:V17)</f>
        <v>-7990.84199613555</v>
      </c>
      <c r="I17" s="68" t="n">
        <f aca="false">SUM(W17:Z17)</f>
        <v>-13451</v>
      </c>
      <c r="J17" s="34"/>
      <c r="K17" s="69" t="n">
        <v>-815.733</v>
      </c>
      <c r="L17" s="68" t="n">
        <v>-948.94</v>
      </c>
      <c r="M17" s="68" t="n">
        <v>-1143.407</v>
      </c>
      <c r="N17" s="68" t="n">
        <v>-921.838</v>
      </c>
      <c r="O17" s="69" t="n">
        <v>-864.939759150406</v>
      </c>
      <c r="P17" s="68" t="n">
        <v>-960.746748292651</v>
      </c>
      <c r="Q17" s="68" t="n">
        <v>-1091.23513581379</v>
      </c>
      <c r="R17" s="68" t="n">
        <v>-1282.19194013858</v>
      </c>
      <c r="S17" s="69" t="n">
        <v>-1659.47228044698</v>
      </c>
      <c r="T17" s="68" t="n">
        <v>-1774.39403372413</v>
      </c>
      <c r="U17" s="68" t="n">
        <v>-2099.29861291482</v>
      </c>
      <c r="V17" s="68" t="n">
        <v>-2457.67706904962</v>
      </c>
      <c r="W17" s="69" t="n">
        <v>-2707</v>
      </c>
      <c r="X17" s="68" t="n">
        <v>-2988</v>
      </c>
      <c r="Y17" s="68" t="n">
        <v>-3590</v>
      </c>
      <c r="Z17" s="70" t="n">
        <v>-4166</v>
      </c>
      <c r="AA17" s="35"/>
    </row>
    <row r="18" customFormat="false" ht="16.5" hidden="false" customHeight="true" outlineLevel="0" collapsed="false">
      <c r="A18" s="34"/>
      <c r="B18" s="78" t="s">
        <v>176</v>
      </c>
      <c r="C18" s="79"/>
      <c r="D18" s="79"/>
      <c r="E18" s="79"/>
      <c r="F18" s="79" t="n">
        <f aca="false">F17+F15</f>
        <v>6619.941</v>
      </c>
      <c r="G18" s="79" t="n">
        <f aca="false">G17+G15</f>
        <v>13287.3684161057</v>
      </c>
      <c r="H18" s="79" t="n">
        <f aca="false">H17+H15</f>
        <v>32338.9789893638</v>
      </c>
      <c r="I18" s="79" t="n">
        <f aca="false">I17+I15</f>
        <v>51427</v>
      </c>
      <c r="J18" s="79"/>
      <c r="K18" s="80" t="n">
        <f aca="false">K17+K15</f>
        <v>967.125</v>
      </c>
      <c r="L18" s="79" t="n">
        <f aca="false">L17+L15</f>
        <v>780.158</v>
      </c>
      <c r="M18" s="79" t="n">
        <f aca="false">M17+M15</f>
        <v>1361.437</v>
      </c>
      <c r="N18" s="79" t="n">
        <f aca="false">N17+N15</f>
        <v>3511.221</v>
      </c>
      <c r="O18" s="80" t="n">
        <f aca="false">O17+O15</f>
        <v>2467.77627451202</v>
      </c>
      <c r="P18" s="79" t="n">
        <f aca="false">P17+P15</f>
        <v>2728.10868702189</v>
      </c>
      <c r="Q18" s="79" t="n">
        <f aca="false">Q17+Q15</f>
        <v>3676.16903118914</v>
      </c>
      <c r="R18" s="79" t="n">
        <f aca="false">R17+R15</f>
        <v>4415.31442338261</v>
      </c>
      <c r="S18" s="80" t="n">
        <f aca="false">S17+S15</f>
        <v>5487.73467408882</v>
      </c>
      <c r="T18" s="79" t="n">
        <f aca="false">T17+T15</f>
        <v>7189.79733975166</v>
      </c>
      <c r="U18" s="79" t="n">
        <f aca="false">U17+U15</f>
        <v>9104.1671632259</v>
      </c>
      <c r="V18" s="79" t="n">
        <f aca="false">V17+V15</f>
        <v>10557.2798122974</v>
      </c>
      <c r="W18" s="80" t="n">
        <f aca="false">W17+W15</f>
        <v>11752</v>
      </c>
      <c r="X18" s="79" t="n">
        <f aca="false">X17+X15</f>
        <v>12406</v>
      </c>
      <c r="Y18" s="79" t="n">
        <f aca="false">Y17+Y15</f>
        <v>13444</v>
      </c>
      <c r="Z18" s="81" t="n">
        <f aca="false">Z17+Z15</f>
        <v>13825</v>
      </c>
      <c r="AA18" s="35"/>
    </row>
    <row r="19" customFormat="false" ht="16.5" hidden="false" customHeight="true" outlineLevel="0" collapsed="false">
      <c r="A19" s="34"/>
      <c r="B19" s="82"/>
      <c r="C19" s="34"/>
      <c r="D19" s="34"/>
      <c r="E19" s="34"/>
      <c r="F19" s="83"/>
      <c r="G19" s="83"/>
      <c r="H19" s="83"/>
      <c r="I19" s="83"/>
      <c r="J19" s="34"/>
      <c r="K19" s="84"/>
      <c r="L19" s="83"/>
      <c r="M19" s="83"/>
      <c r="N19" s="83"/>
      <c r="O19" s="84"/>
      <c r="P19" s="83"/>
      <c r="Q19" s="83"/>
      <c r="R19" s="83"/>
      <c r="S19" s="84"/>
      <c r="T19" s="83"/>
      <c r="U19" s="83"/>
      <c r="V19" s="83"/>
      <c r="W19" s="84"/>
      <c r="X19" s="83"/>
      <c r="Y19" s="83"/>
      <c r="Z19" s="85"/>
      <c r="AA19" s="35"/>
    </row>
    <row r="20" customFormat="false" ht="16.5" hidden="false" customHeight="true" outlineLevel="0" collapsed="false">
      <c r="A20" s="34"/>
      <c r="B20" s="86" t="s">
        <v>88</v>
      </c>
      <c r="C20" s="87"/>
      <c r="D20" s="87"/>
      <c r="E20" s="87"/>
      <c r="F20" s="87" t="n">
        <f aca="false">F18+F10</f>
        <v>14531.931</v>
      </c>
      <c r="G20" s="87" t="n">
        <f aca="false">G18+G10</f>
        <v>27819.2994161057</v>
      </c>
      <c r="H20" s="87" t="n">
        <f aca="false">H18+H10</f>
        <v>60158.2784054694</v>
      </c>
      <c r="I20" s="87" t="n">
        <f aca="false">I18+I10</f>
        <v>111585.278405469</v>
      </c>
      <c r="J20" s="87"/>
      <c r="K20" s="88" t="n">
        <f aca="false">K18+K10</f>
        <v>8879.115</v>
      </c>
      <c r="L20" s="87" t="n">
        <f aca="false">L18+L10</f>
        <v>9659.273</v>
      </c>
      <c r="M20" s="87" t="n">
        <f aca="false">M18+M10</f>
        <v>11020.71</v>
      </c>
      <c r="N20" s="87" t="n">
        <f aca="false">N18+N10</f>
        <v>14531.931</v>
      </c>
      <c r="O20" s="88" t="n">
        <f aca="false">O18+O10</f>
        <v>16999.707274512</v>
      </c>
      <c r="P20" s="87" t="n">
        <f aca="false">P18+P10</f>
        <v>19727.8159615339</v>
      </c>
      <c r="Q20" s="87" t="n">
        <f aca="false">Q18+Q10</f>
        <v>23403.984992723</v>
      </c>
      <c r="R20" s="87" t="n">
        <f aca="false">R18+R10</f>
        <v>27819.2994161057</v>
      </c>
      <c r="S20" s="88" t="n">
        <f aca="false">S18+S10</f>
        <v>33307.0340901945</v>
      </c>
      <c r="T20" s="87" t="n">
        <f aca="false">T18+T10</f>
        <v>40496.8314299461</v>
      </c>
      <c r="U20" s="87" t="n">
        <f aca="false">U18+U10</f>
        <v>49600.998593172</v>
      </c>
      <c r="V20" s="87" t="n">
        <f aca="false">V18+V10</f>
        <v>60158.2784054694</v>
      </c>
      <c r="W20" s="88" t="n">
        <f aca="false">W18+W10</f>
        <v>71910.2784054694</v>
      </c>
      <c r="X20" s="87" t="n">
        <f aca="false">X18+X10</f>
        <v>84316.2784054694</v>
      </c>
      <c r="Y20" s="87" t="n">
        <f aca="false">Y18+Y10</f>
        <v>97760.2784054694</v>
      </c>
      <c r="Z20" s="89" t="n">
        <f aca="false">Z18+Z10</f>
        <v>111585.278405469</v>
      </c>
      <c r="AA20" s="35"/>
    </row>
    <row r="21" customFormat="false" ht="17.25" hidden="false" customHeight="true" outlineLevel="0" collapsed="false">
      <c r="A21" s="67"/>
      <c r="B21" s="90" t="s">
        <v>177</v>
      </c>
      <c r="C21" s="91"/>
      <c r="D21" s="91"/>
      <c r="E21" s="91"/>
      <c r="F21" s="92" t="n">
        <f aca="false">F20/(F10)-1</f>
        <v>0.836697341629603</v>
      </c>
      <c r="G21" s="92" t="n">
        <f aca="false">G20/F20-1</f>
        <v>0.914356696030668</v>
      </c>
      <c r="H21" s="92" t="n">
        <f aca="false">H20/G20-1</f>
        <v>1.16246561445187</v>
      </c>
      <c r="I21" s="92" t="n">
        <f aca="false">I20/H20-1</f>
        <v>0.854861564577693</v>
      </c>
      <c r="J21" s="92"/>
      <c r="K21" s="93" t="n">
        <f aca="false">K20/(6412)-1</f>
        <v>0.384765283842795</v>
      </c>
      <c r="L21" s="92" t="n">
        <f aca="false">L20/K20-1</f>
        <v>0.0878643873854546</v>
      </c>
      <c r="M21" s="92" t="n">
        <f aca="false">M20/L20-1</f>
        <v>0.140946114681716</v>
      </c>
      <c r="N21" s="92" t="n">
        <f aca="false">N20/M20-1</f>
        <v>0.318602068287796</v>
      </c>
      <c r="O21" s="93" t="n">
        <f aca="false">O20/N20-1</f>
        <v>0.169817505637208</v>
      </c>
      <c r="P21" s="92" t="n">
        <f aca="false">P20/O20-1</f>
        <v>0.160479744913737</v>
      </c>
      <c r="Q21" s="92" t="n">
        <f aca="false">Q20/P20-1</f>
        <v>0.186344450817925</v>
      </c>
      <c r="R21" s="92" t="n">
        <f aca="false">R20/Q20-1</f>
        <v>0.188656522586024</v>
      </c>
      <c r="S21" s="93" t="n">
        <f aca="false">S20/R20-1</f>
        <v>0.197263582810132</v>
      </c>
      <c r="T21" s="92" t="n">
        <f aca="false">T20/S20-1</f>
        <v>0.215864232170355</v>
      </c>
      <c r="U21" s="92" t="n">
        <f aca="false">U20/T20-1</f>
        <v>0.224811839389826</v>
      </c>
      <c r="V21" s="92" t="n">
        <f aca="false">V20/U20-1</f>
        <v>0.212844098137788</v>
      </c>
      <c r="W21" s="93" t="n">
        <f aca="false">W20/V20-1</f>
        <v>0.195351335036402</v>
      </c>
      <c r="X21" s="92" t="n">
        <f aca="false">X20/W20-1</f>
        <v>0.172520539136953</v>
      </c>
      <c r="Y21" s="92" t="n">
        <f aca="false">Y20/X20-1</f>
        <v>0.159447265157376</v>
      </c>
      <c r="Z21" s="94" t="n">
        <f aca="false">Z20/Y20-1</f>
        <v>0.141417355039227</v>
      </c>
      <c r="AA21" s="35"/>
    </row>
    <row r="22" customFormat="false" ht="9.75" hidden="false" customHeight="true" outlineLevel="0" collapsed="false">
      <c r="A22" s="34"/>
      <c r="B22" s="34"/>
      <c r="C22" s="34"/>
      <c r="D22" s="34"/>
      <c r="E22" s="34"/>
      <c r="F22" s="35"/>
      <c r="G22" s="35"/>
      <c r="H22" s="35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customFormat="false" ht="17.25" hidden="false" customHeight="true" outlineLevel="0" collapsed="false">
      <c r="A23" s="54" t="s">
        <v>169</v>
      </c>
      <c r="B23" s="55" t="s">
        <v>178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95"/>
      <c r="X23" s="56"/>
      <c r="Y23" s="56"/>
      <c r="Z23" s="57"/>
      <c r="AA23" s="35"/>
    </row>
    <row r="24" customFormat="false" ht="6" hidden="false" customHeight="true" outlineLevel="0" collapsed="false">
      <c r="A24" s="67"/>
      <c r="B24" s="58"/>
      <c r="C24" s="34"/>
      <c r="D24" s="34"/>
      <c r="E24" s="34"/>
      <c r="F24" s="68"/>
      <c r="G24" s="68"/>
      <c r="H24" s="68"/>
      <c r="I24" s="34"/>
      <c r="J24" s="34"/>
      <c r="K24" s="69"/>
      <c r="L24" s="68"/>
      <c r="M24" s="68"/>
      <c r="N24" s="96"/>
      <c r="O24" s="69"/>
      <c r="P24" s="68"/>
      <c r="Q24" s="68"/>
      <c r="R24" s="96"/>
      <c r="S24" s="69"/>
      <c r="T24" s="68"/>
      <c r="U24" s="68"/>
      <c r="V24" s="68"/>
      <c r="W24" s="69"/>
      <c r="X24" s="68"/>
      <c r="Y24" s="68"/>
      <c r="Z24" s="70"/>
      <c r="AA24" s="35"/>
    </row>
    <row r="25" customFormat="false" ht="17.25" hidden="false" customHeight="true" outlineLevel="0" collapsed="false">
      <c r="A25" s="67"/>
      <c r="B25" s="58" t="s">
        <v>92</v>
      </c>
      <c r="C25" s="34"/>
      <c r="D25" s="34"/>
      <c r="E25" s="34"/>
      <c r="F25" s="71" t="n">
        <f aca="false">SUM(K25:N25)</f>
        <v>8512.62153471782</v>
      </c>
      <c r="G25" s="71" t="n">
        <f aca="false">SUM(O25:R25)</f>
        <v>16980.5957387292</v>
      </c>
      <c r="H25" s="71" t="n">
        <f aca="false">SUM(S25:V25)</f>
        <v>35440.3967298168</v>
      </c>
      <c r="I25" s="71" t="n">
        <f aca="false">SUM(W25:Z25)</f>
        <v>70580.7307629383</v>
      </c>
      <c r="J25" s="71"/>
      <c r="K25" s="72" t="n">
        <v>1714.284</v>
      </c>
      <c r="L25" s="71" t="n">
        <v>1864.90851346469</v>
      </c>
      <c r="M25" s="71" t="n">
        <v>2127.76012267439</v>
      </c>
      <c r="N25" s="71" t="n">
        <v>2805.66889857874</v>
      </c>
      <c r="O25" s="72" t="n">
        <v>3282.12059257928</v>
      </c>
      <c r="P25" s="71" t="n">
        <v>3808.83446805253</v>
      </c>
      <c r="Q25" s="71" t="n">
        <v>4518.58963525816</v>
      </c>
      <c r="R25" s="71" t="n">
        <v>5371.05104283921</v>
      </c>
      <c r="S25" s="72" t="n">
        <v>6430.56381500577</v>
      </c>
      <c r="T25" s="71" t="n">
        <v>7818.69253535446</v>
      </c>
      <c r="U25" s="71" t="n">
        <v>9576.42718585099</v>
      </c>
      <c r="V25" s="71" t="n">
        <v>11614.7131936056</v>
      </c>
      <c r="W25" s="72" t="n">
        <v>13883.6629220414</v>
      </c>
      <c r="X25" s="71" t="n">
        <v>16278.8799345477</v>
      </c>
      <c r="Y25" s="71" t="n">
        <v>18874.5028199366</v>
      </c>
      <c r="Z25" s="73" t="n">
        <v>21543.6850864125</v>
      </c>
      <c r="AA25" s="35"/>
    </row>
    <row r="26" customFormat="false" ht="17.25" hidden="false" customHeight="true" outlineLevel="0" collapsed="false">
      <c r="A26" s="67"/>
      <c r="B26" s="82" t="s">
        <v>177</v>
      </c>
      <c r="C26" s="34"/>
      <c r="D26" s="34"/>
      <c r="E26" s="34"/>
      <c r="F26" s="83"/>
      <c r="G26" s="83" t="n">
        <f aca="false">G25/F25-1</f>
        <v>0.994755160848585</v>
      </c>
      <c r="H26" s="83" t="n">
        <f aca="false">H25/G25-1</f>
        <v>1.08711150510372</v>
      </c>
      <c r="I26" s="83" t="n">
        <f aca="false">I25/H25-1</f>
        <v>0.991533314398737</v>
      </c>
      <c r="J26" s="83"/>
      <c r="K26" s="84"/>
      <c r="L26" s="83" t="n">
        <f aca="false">L25/K25-1</f>
        <v>0.0878643873854548</v>
      </c>
      <c r="M26" s="83" t="n">
        <f aca="false">M25/L25-1</f>
        <v>0.140946114681715</v>
      </c>
      <c r="N26" s="83" t="n">
        <f aca="false">N25/M25-1</f>
        <v>0.318602068287797</v>
      </c>
      <c r="O26" s="84" t="n">
        <f aca="false">O25/N25-1</f>
        <v>0.169817505637208</v>
      </c>
      <c r="P26" s="83" t="n">
        <f aca="false">P25/O25-1</f>
        <v>0.160479744913737</v>
      </c>
      <c r="Q26" s="83" t="n">
        <f aca="false">Q25/P25-1</f>
        <v>0.186344450817925</v>
      </c>
      <c r="R26" s="83" t="n">
        <f aca="false">R25/Q25-1</f>
        <v>0.188656522586024</v>
      </c>
      <c r="S26" s="84" t="n">
        <f aca="false">S25/R25-1</f>
        <v>0.197263582810132</v>
      </c>
      <c r="T26" s="83" t="n">
        <f aca="false">T25/S25-1</f>
        <v>0.215864232170355</v>
      </c>
      <c r="U26" s="83" t="n">
        <f aca="false">U25/T25-1</f>
        <v>0.224811839389826</v>
      </c>
      <c r="V26" s="83" t="n">
        <f aca="false">V25/U25-1</f>
        <v>0.212844098137787</v>
      </c>
      <c r="W26" s="84" t="n">
        <f aca="false">W25/V25-1</f>
        <v>0.195351335036403</v>
      </c>
      <c r="X26" s="83" t="n">
        <f aca="false">X25/W25-1</f>
        <v>0.172520539136953</v>
      </c>
      <c r="Y26" s="83" t="n">
        <f aca="false">Y25/X25-1</f>
        <v>0.159447265157376</v>
      </c>
      <c r="Z26" s="85" t="n">
        <f aca="false">Z25/Y25-1</f>
        <v>0.141417355039227</v>
      </c>
      <c r="AA26" s="35"/>
    </row>
    <row r="27" customFormat="false" ht="6" hidden="false" customHeight="true" outlineLevel="0" collapsed="false">
      <c r="A27" s="67"/>
      <c r="B27" s="58"/>
      <c r="C27" s="34"/>
      <c r="D27" s="34"/>
      <c r="E27" s="34"/>
      <c r="F27" s="68"/>
      <c r="G27" s="68"/>
      <c r="H27" s="68"/>
      <c r="I27" s="34"/>
      <c r="J27" s="34"/>
      <c r="K27" s="69"/>
      <c r="L27" s="68"/>
      <c r="M27" s="68"/>
      <c r="N27" s="68"/>
      <c r="O27" s="69"/>
      <c r="P27" s="68"/>
      <c r="Q27" s="68"/>
      <c r="R27" s="68"/>
      <c r="S27" s="69"/>
      <c r="T27" s="68"/>
      <c r="U27" s="68"/>
      <c r="V27" s="68"/>
      <c r="W27" s="69"/>
      <c r="X27" s="68"/>
      <c r="Y27" s="68"/>
      <c r="Z27" s="70"/>
      <c r="AA27" s="35"/>
    </row>
    <row r="28" customFormat="false" ht="17.25" hidden="false" customHeight="true" outlineLevel="0" collapsed="false">
      <c r="A28" s="67"/>
      <c r="B28" s="58" t="s">
        <v>179</v>
      </c>
      <c r="C28" s="34"/>
      <c r="D28" s="34"/>
      <c r="E28" s="34"/>
      <c r="F28" s="68" t="n">
        <f aca="false">SUM(K28:N28)</f>
        <v>-3017.96431605</v>
      </c>
      <c r="G28" s="68" t="n">
        <f aca="false">SUM(O28:R28)</f>
        <v>-5364.04195444483</v>
      </c>
      <c r="H28" s="68" t="n">
        <f aca="false">SUM(S28:V28)</f>
        <v>-9451.93564423748</v>
      </c>
      <c r="I28" s="68" t="n">
        <f aca="false">SUM(W28:Z28)</f>
        <v>-17042.147234374</v>
      </c>
      <c r="J28" s="34"/>
      <c r="K28" s="69" t="n">
        <v>-667.60312085</v>
      </c>
      <c r="L28" s="68" t="n">
        <v>-687.192336125</v>
      </c>
      <c r="M28" s="68" t="n">
        <v>-745.45577665</v>
      </c>
      <c r="N28" s="68" t="n">
        <v>-917.713082425</v>
      </c>
      <c r="O28" s="69" t="n">
        <v>-1112.71802502359</v>
      </c>
      <c r="P28" s="68" t="n">
        <v>-1262.82350573323</v>
      </c>
      <c r="Q28" s="68" t="n">
        <v>-1425.32375724507</v>
      </c>
      <c r="R28" s="68" t="n">
        <v>-1563.17666644294</v>
      </c>
      <c r="S28" s="69" t="n">
        <v>-1864.72170547751</v>
      </c>
      <c r="T28" s="68" t="n">
        <v>-2186.62373933187</v>
      </c>
      <c r="U28" s="68" t="n">
        <v>-2519.27504472441</v>
      </c>
      <c r="V28" s="68" t="n">
        <v>-2881.3151547037</v>
      </c>
      <c r="W28" s="69" t="n">
        <v>-3357.73814991435</v>
      </c>
      <c r="X28" s="68" t="n">
        <v>-3942.05141179231</v>
      </c>
      <c r="Y28" s="68" t="n">
        <v>-4556.15073886284</v>
      </c>
      <c r="Z28" s="70" t="n">
        <v>-5186.20693380452</v>
      </c>
      <c r="AA28" s="35"/>
    </row>
    <row r="29" customFormat="false" ht="17.25" hidden="false" customHeight="true" outlineLevel="0" collapsed="false">
      <c r="A29" s="34"/>
      <c r="B29" s="86" t="s">
        <v>180</v>
      </c>
      <c r="C29" s="87"/>
      <c r="D29" s="87"/>
      <c r="E29" s="87"/>
      <c r="F29" s="87" t="n">
        <f aca="false">F28+F25</f>
        <v>5494.65721866782</v>
      </c>
      <c r="G29" s="87" t="n">
        <f aca="false">G28+G25</f>
        <v>11616.5537842843</v>
      </c>
      <c r="H29" s="87" t="n">
        <f aca="false">H28+H25</f>
        <v>25988.4610855794</v>
      </c>
      <c r="I29" s="87" t="n">
        <f aca="false">I28+I25</f>
        <v>53538.5835285643</v>
      </c>
      <c r="J29" s="87"/>
      <c r="K29" s="88" t="n">
        <f aca="false">K28+K25</f>
        <v>1046.68087915</v>
      </c>
      <c r="L29" s="87" t="n">
        <f aca="false">L28+L25</f>
        <v>1177.71617733969</v>
      </c>
      <c r="M29" s="87" t="n">
        <f aca="false">M28+M25</f>
        <v>1382.30434602439</v>
      </c>
      <c r="N29" s="87" t="n">
        <f aca="false">N28+N25</f>
        <v>1887.95581615374</v>
      </c>
      <c r="O29" s="88" t="n">
        <f aca="false">O28+O25</f>
        <v>2169.40256755569</v>
      </c>
      <c r="P29" s="87" t="n">
        <f aca="false">P28+P25</f>
        <v>2546.01096231929</v>
      </c>
      <c r="Q29" s="87" t="n">
        <f aca="false">Q28+Q25</f>
        <v>3093.26587801309</v>
      </c>
      <c r="R29" s="87" t="n">
        <f aca="false">R28+R25</f>
        <v>3807.87437639627</v>
      </c>
      <c r="S29" s="88" t="n">
        <f aca="false">S28+S25</f>
        <v>4565.84210952826</v>
      </c>
      <c r="T29" s="87" t="n">
        <f aca="false">T28+T25</f>
        <v>5632.06879602259</v>
      </c>
      <c r="U29" s="87" t="n">
        <f aca="false">U28+U25</f>
        <v>7057.15214112658</v>
      </c>
      <c r="V29" s="87" t="n">
        <f aca="false">V28+V25</f>
        <v>8733.39803890193</v>
      </c>
      <c r="W29" s="88" t="n">
        <f aca="false">W28+W25</f>
        <v>10525.9247721271</v>
      </c>
      <c r="X29" s="87" t="n">
        <f aca="false">X28+X25</f>
        <v>12336.8285227554</v>
      </c>
      <c r="Y29" s="87" t="n">
        <f aca="false">Y28+Y25</f>
        <v>14318.3520810738</v>
      </c>
      <c r="Z29" s="89" t="n">
        <f aca="false">Z28+Z25</f>
        <v>16357.478152608</v>
      </c>
      <c r="AA29" s="35"/>
    </row>
    <row r="30" customFormat="false" ht="17.25" hidden="false" customHeight="true" outlineLevel="0" collapsed="false">
      <c r="A30" s="37"/>
      <c r="B30" s="82" t="s">
        <v>181</v>
      </c>
      <c r="C30" s="34"/>
      <c r="D30" s="34"/>
      <c r="E30" s="34"/>
      <c r="F30" s="83" t="n">
        <f aca="false">F29/F$25</f>
        <v>0.645471808685309</v>
      </c>
      <c r="G30" s="83" t="n">
        <f aca="false">G29/G$25</f>
        <v>0.684107552115467</v>
      </c>
      <c r="H30" s="83" t="n">
        <f aca="false">H29/H$25</f>
        <v>0.733300512511325</v>
      </c>
      <c r="I30" s="83" t="n">
        <f aca="false">I29/I$25</f>
        <v>0.758543910637395</v>
      </c>
      <c r="J30" s="67"/>
      <c r="K30" s="84" t="n">
        <f aca="false">K29/K$25</f>
        <v>0.61056445673529</v>
      </c>
      <c r="L30" s="83" t="n">
        <f aca="false">L29/L$25</f>
        <v>0.631514183584099</v>
      </c>
      <c r="M30" s="83" t="n">
        <f aca="false">M29/M$25</f>
        <v>0.649652341583959</v>
      </c>
      <c r="N30" s="83" t="n">
        <f aca="false">N29/N$25</f>
        <v>0.672907561227242</v>
      </c>
      <c r="O30" s="84" t="n">
        <f aca="false">O29/O$25</f>
        <v>0.660975886279319</v>
      </c>
      <c r="P30" s="83" t="n">
        <f aca="false">P29/P$25</f>
        <v>0.668448834853429</v>
      </c>
      <c r="Q30" s="83" t="n">
        <f aca="false">Q29/Q$25</f>
        <v>0.684564460971761</v>
      </c>
      <c r="R30" s="83" t="n">
        <f aca="false">R29/R$25</f>
        <v>0.708962611977594</v>
      </c>
      <c r="S30" s="84" t="n">
        <f aca="false">S29/S$25</f>
        <v>0.710022051079539</v>
      </c>
      <c r="T30" s="83" t="n">
        <f aca="false">T29/T$25</f>
        <v>0.720333837218381</v>
      </c>
      <c r="U30" s="83" t="n">
        <f aca="false">U29/U$25</f>
        <v>0.736929546287723</v>
      </c>
      <c r="V30" s="83" t="n">
        <f aca="false">V29/V$25</f>
        <v>0.751925415059755</v>
      </c>
      <c r="W30" s="84" t="n">
        <f aca="false">W29/W$25</f>
        <v>0.758151853097523</v>
      </c>
      <c r="X30" s="83" t="n">
        <f aca="false">X29/X$25</f>
        <v>0.757842589438459</v>
      </c>
      <c r="Y30" s="83" t="n">
        <f aca="false">Y29/Y$25</f>
        <v>0.75860817196995</v>
      </c>
      <c r="Z30" s="85" t="n">
        <f aca="false">Z29/Z$25</f>
        <v>0.759270203170792</v>
      </c>
      <c r="AA30" s="35"/>
    </row>
    <row r="31" customFormat="false" ht="6" hidden="false" customHeight="true" outlineLevel="0" collapsed="false">
      <c r="A31" s="67"/>
      <c r="B31" s="58"/>
      <c r="C31" s="34"/>
      <c r="D31" s="34"/>
      <c r="E31" s="34"/>
      <c r="F31" s="68"/>
      <c r="G31" s="68"/>
      <c r="H31" s="68"/>
      <c r="I31" s="34"/>
      <c r="J31" s="34"/>
      <c r="K31" s="69"/>
      <c r="L31" s="68"/>
      <c r="M31" s="68"/>
      <c r="N31" s="68"/>
      <c r="O31" s="69"/>
      <c r="P31" s="68"/>
      <c r="Q31" s="68"/>
      <c r="R31" s="68"/>
      <c r="S31" s="69"/>
      <c r="T31" s="68"/>
      <c r="U31" s="68"/>
      <c r="V31" s="68"/>
      <c r="W31" s="69"/>
      <c r="X31" s="68"/>
      <c r="Y31" s="68"/>
      <c r="Z31" s="70"/>
      <c r="AA31" s="35"/>
    </row>
    <row r="32" customFormat="false" ht="17.25" hidden="false" customHeight="true" outlineLevel="0" collapsed="false">
      <c r="A32" s="37"/>
      <c r="B32" s="58" t="s">
        <v>182</v>
      </c>
      <c r="C32" s="34"/>
      <c r="D32" s="34"/>
      <c r="E32" s="34"/>
      <c r="F32" s="68" t="n">
        <f aca="false">SUM(K32:N32)</f>
        <v>-9963.26172815</v>
      </c>
      <c r="G32" s="68" t="n">
        <f aca="false">SUM(O32:R32)</f>
        <v>-19304.6831364722</v>
      </c>
      <c r="H32" s="68" t="n">
        <f aca="false">SUM(S32:V32)</f>
        <v>-35712.5920778279</v>
      </c>
      <c r="I32" s="68" t="n">
        <f aca="false">SUM(W32:Z32)</f>
        <v>-51824.0052376113</v>
      </c>
      <c r="J32" s="68"/>
      <c r="K32" s="69" t="n">
        <v>-2300.82681255</v>
      </c>
      <c r="L32" s="68" t="n">
        <v>-1968.713928375</v>
      </c>
      <c r="M32" s="68" t="n">
        <v>-2396.06571995</v>
      </c>
      <c r="N32" s="68" t="n">
        <v>-3297.655267275</v>
      </c>
      <c r="O32" s="69" t="n">
        <v>-3335.03780299552</v>
      </c>
      <c r="P32" s="68" t="n">
        <v>-4504.3879979978</v>
      </c>
      <c r="Q32" s="68" t="n">
        <v>-5604.0512707353</v>
      </c>
      <c r="R32" s="68" t="n">
        <v>-5861.20606474359</v>
      </c>
      <c r="S32" s="69" t="n">
        <v>-7862.30750100553</v>
      </c>
      <c r="T32" s="68" t="n">
        <v>-8316.57666079513</v>
      </c>
      <c r="U32" s="68" t="n">
        <v>-9726.8447054155</v>
      </c>
      <c r="V32" s="68" t="n">
        <v>-9806.86321061176</v>
      </c>
      <c r="W32" s="69" t="n">
        <v>-10889.118433816</v>
      </c>
      <c r="X32" s="68" t="n">
        <v>-12238.6982552046</v>
      </c>
      <c r="Y32" s="68" t="n">
        <v>-13746.4242300549</v>
      </c>
      <c r="Z32" s="70" t="n">
        <v>-14949.7643185357</v>
      </c>
      <c r="AA32" s="35"/>
    </row>
    <row r="33" customFormat="false" ht="17.25" hidden="false" customHeight="true" outlineLevel="0" collapsed="false">
      <c r="A33" s="37"/>
      <c r="B33" s="82" t="s">
        <v>181</v>
      </c>
      <c r="C33" s="34"/>
      <c r="D33" s="34"/>
      <c r="E33" s="34"/>
      <c r="F33" s="83" t="n">
        <f aca="false">(F32/F$25)</f>
        <v>-1.17041051191057</v>
      </c>
      <c r="G33" s="83" t="n">
        <f aca="false">(G32/G$25)</f>
        <v>-1.13686724738651</v>
      </c>
      <c r="H33" s="83" t="n">
        <f aca="false">(H32/H$25)</f>
        <v>-1.00768036966646</v>
      </c>
      <c r="I33" s="83" t="n">
        <f aca="false">(I32/I$25)</f>
        <v>-0.734251468884251</v>
      </c>
      <c r="J33" s="67"/>
      <c r="K33" s="84" t="n">
        <f aca="false">(K32/K$25)</f>
        <v>-1.34215031613782</v>
      </c>
      <c r="L33" s="83" t="n">
        <f aca="false">(L32/L$25)</f>
        <v>-1.05566247038975</v>
      </c>
      <c r="M33" s="83" t="n">
        <f aca="false">(M32/M$25)</f>
        <v>-1.12609767163903</v>
      </c>
      <c r="N33" s="83" t="n">
        <f aca="false">(N32/N$25)</f>
        <v>-1.17535439372247</v>
      </c>
      <c r="O33" s="84" t="n">
        <f aca="false">(O32/O$25)</f>
        <v>-1.01612287206506</v>
      </c>
      <c r="P33" s="83" t="n">
        <f aca="false">(P32/P$25)</f>
        <v>-1.18261584633814</v>
      </c>
      <c r="Q33" s="83" t="n">
        <f aca="false">(Q32/Q$25)</f>
        <v>-1.2402213352165</v>
      </c>
      <c r="R33" s="83" t="n">
        <f aca="false">(R32/R$25)</f>
        <v>-1.09125867879395</v>
      </c>
      <c r="S33" s="84" t="n">
        <f aca="false">(S32/S$25)</f>
        <v>-1.22264668032044</v>
      </c>
      <c r="T33" s="83" t="n">
        <f aca="false">(T32/T$25)</f>
        <v>-1.06367869348863</v>
      </c>
      <c r="U33" s="83" t="n">
        <f aca="false">(U32/U$25)</f>
        <v>-1.0157070603311</v>
      </c>
      <c r="V33" s="83" t="n">
        <f aca="false">(V32/V$25)</f>
        <v>-0.84434828885924</v>
      </c>
      <c r="W33" s="84" t="n">
        <f aca="false">(W32/W$25)</f>
        <v>-0.784311639871973</v>
      </c>
      <c r="X33" s="83" t="n">
        <f aca="false">(X32/X$25)</f>
        <v>-0.751814516994573</v>
      </c>
      <c r="Y33" s="83" t="n">
        <f aca="false">(Y32/Y$25)</f>
        <v>-0.728306560506322</v>
      </c>
      <c r="Z33" s="85" t="n">
        <f aca="false">(Z32/Z$25)</f>
        <v>-0.693927907810185</v>
      </c>
      <c r="AA33" s="35"/>
    </row>
    <row r="34" customFormat="false" ht="6" hidden="false" customHeight="true" outlineLevel="0" collapsed="false">
      <c r="A34" s="67"/>
      <c r="B34" s="58"/>
      <c r="C34" s="34"/>
      <c r="D34" s="34"/>
      <c r="E34" s="34"/>
      <c r="F34" s="68"/>
      <c r="G34" s="68"/>
      <c r="H34" s="68"/>
      <c r="I34" s="34"/>
      <c r="J34" s="34"/>
      <c r="K34" s="69"/>
      <c r="L34" s="68"/>
      <c r="M34" s="68"/>
      <c r="N34" s="68"/>
      <c r="O34" s="69"/>
      <c r="P34" s="68"/>
      <c r="Q34" s="68"/>
      <c r="R34" s="68"/>
      <c r="S34" s="69"/>
      <c r="T34" s="68"/>
      <c r="U34" s="68"/>
      <c r="V34" s="68"/>
      <c r="W34" s="69"/>
      <c r="X34" s="68"/>
      <c r="Y34" s="68"/>
      <c r="Z34" s="70"/>
      <c r="AA34" s="35"/>
    </row>
    <row r="35" customFormat="false" ht="17.25" hidden="false" customHeight="true" outlineLevel="0" collapsed="false">
      <c r="A35" s="37"/>
      <c r="B35" s="58" t="s">
        <v>183</v>
      </c>
      <c r="C35" s="34"/>
      <c r="D35" s="34"/>
      <c r="E35" s="34"/>
      <c r="F35" s="68" t="n">
        <f aca="false">SUM(K35:N35)</f>
        <v>-4244.63705</v>
      </c>
      <c r="G35" s="68" t="n">
        <f aca="false">SUM(O35:R35)</f>
        <v>-6500.32161990731</v>
      </c>
      <c r="H35" s="68" t="n">
        <f aca="false">SUM(S35:V35)</f>
        <v>-10422.2074026351</v>
      </c>
      <c r="I35" s="68" t="n">
        <f aca="false">SUM(W35:Z35)</f>
        <v>-13479.6440865855</v>
      </c>
      <c r="J35" s="97"/>
      <c r="K35" s="69" t="n">
        <v>-1076.11882</v>
      </c>
      <c r="L35" s="68" t="n">
        <v>-1154.18011</v>
      </c>
      <c r="M35" s="68" t="n">
        <v>-923.10103</v>
      </c>
      <c r="N35" s="68" t="n">
        <v>-1091.23709</v>
      </c>
      <c r="O35" s="69" t="n">
        <v>-1249.13563577326</v>
      </c>
      <c r="P35" s="68" t="n">
        <v>-1717.52883733015</v>
      </c>
      <c r="Q35" s="68" t="n">
        <v>-1708.84524295775</v>
      </c>
      <c r="R35" s="68" t="n">
        <v>-1824.81190384615</v>
      </c>
      <c r="S35" s="69" t="n">
        <v>-2065.49524264706</v>
      </c>
      <c r="T35" s="68" t="n">
        <v>-2716.92744407895</v>
      </c>
      <c r="U35" s="68" t="n">
        <v>-2706.6318125</v>
      </c>
      <c r="V35" s="68" t="n">
        <v>-2933.15290340909</v>
      </c>
      <c r="W35" s="69" t="n">
        <v>-2701.80228733377</v>
      </c>
      <c r="X35" s="68" t="n">
        <v>-3138.93694126888</v>
      </c>
      <c r="Y35" s="68" t="n">
        <v>-3591.35068837783</v>
      </c>
      <c r="Z35" s="70" t="n">
        <v>-4047.55416960499</v>
      </c>
      <c r="AA35" s="35"/>
    </row>
    <row r="36" customFormat="false" ht="17.25" hidden="false" customHeight="true" outlineLevel="0" collapsed="false">
      <c r="A36" s="37"/>
      <c r="B36" s="82" t="s">
        <v>181</v>
      </c>
      <c r="C36" s="34"/>
      <c r="D36" s="34"/>
      <c r="E36" s="34"/>
      <c r="F36" s="83" t="n">
        <f aca="false">(F35/F$25)</f>
        <v>-0.498628657774659</v>
      </c>
      <c r="G36" s="83" t="n">
        <f aca="false">(G35/G$25)</f>
        <v>-0.382808808355377</v>
      </c>
      <c r="H36" s="83" t="n">
        <f aca="false">(H35/H$25)</f>
        <v>-0.294077052299661</v>
      </c>
      <c r="I36" s="83" t="n">
        <f aca="false">(I35/I$25)</f>
        <v>-0.190981928649336</v>
      </c>
      <c r="J36" s="67"/>
      <c r="K36" s="84" t="n">
        <f aca="false">(K35/K$25)</f>
        <v>-0.627736606069939</v>
      </c>
      <c r="L36" s="83" t="n">
        <f aca="false">(L35/L$25)</f>
        <v>-0.618893689243623</v>
      </c>
      <c r="M36" s="83" t="n">
        <f aca="false">(M35/M$25)</f>
        <v>-0.433836981980728</v>
      </c>
      <c r="N36" s="83" t="n">
        <f aca="false">(N35/N$25)</f>
        <v>-0.388940081473186</v>
      </c>
      <c r="O36" s="84" t="n">
        <f aca="false">(O35/O$25)</f>
        <v>-0.380587976748173</v>
      </c>
      <c r="P36" s="83" t="n">
        <f aca="false">(P35/P$25)</f>
        <v>-0.450932917073797</v>
      </c>
      <c r="Q36" s="83" t="n">
        <f aca="false">(Q35/Q$25)</f>
        <v>-0.378181109792263</v>
      </c>
      <c r="R36" s="83" t="n">
        <f aca="false">(R35/R$25)</f>
        <v>-0.339749499547026</v>
      </c>
      <c r="S36" s="84" t="n">
        <f aca="false">(S35/S$25)</f>
        <v>-0.3211997115754</v>
      </c>
      <c r="T36" s="83" t="n">
        <f aca="false">(T35/T$25)</f>
        <v>-0.347491275784741</v>
      </c>
      <c r="U36" s="83" t="n">
        <f aca="false">(U35/U$25)</f>
        <v>-0.28263482402905</v>
      </c>
      <c r="V36" s="83" t="n">
        <f aca="false">(V35/V$25)</f>
        <v>-0.252537695465774</v>
      </c>
      <c r="W36" s="84" t="n">
        <f aca="false">(W35/W$25)</f>
        <v>-0.194602987878973</v>
      </c>
      <c r="X36" s="83" t="n">
        <f aca="false">(X35/X$25)</f>
        <v>-0.192822660643089</v>
      </c>
      <c r="Y36" s="83" t="n">
        <f aca="false">(Y35/Y$25)</f>
        <v>-0.190275247122503</v>
      </c>
      <c r="Z36" s="85" t="n">
        <f aca="false">(Z35/Z$25)</f>
        <v>-0.187876593691845</v>
      </c>
      <c r="AA36" s="35"/>
    </row>
    <row r="37" customFormat="false" ht="11.25" hidden="false" customHeight="true" outlineLevel="0" collapsed="false">
      <c r="A37" s="67"/>
      <c r="B37" s="58"/>
      <c r="C37" s="34"/>
      <c r="D37" s="34"/>
      <c r="E37" s="34"/>
      <c r="F37" s="68"/>
      <c r="G37" s="68"/>
      <c r="H37" s="68"/>
      <c r="I37" s="34"/>
      <c r="J37" s="34"/>
      <c r="K37" s="69"/>
      <c r="L37" s="68"/>
      <c r="M37" s="68"/>
      <c r="N37" s="68"/>
      <c r="O37" s="69"/>
      <c r="P37" s="68"/>
      <c r="Q37" s="68"/>
      <c r="R37" s="68"/>
      <c r="S37" s="69"/>
      <c r="T37" s="68"/>
      <c r="U37" s="68"/>
      <c r="V37" s="68"/>
      <c r="W37" s="69"/>
      <c r="X37" s="68"/>
      <c r="Y37" s="68"/>
      <c r="Z37" s="70"/>
      <c r="AA37" s="35"/>
    </row>
    <row r="38" customFormat="false" ht="17.25" hidden="false" customHeight="true" outlineLevel="0" collapsed="false">
      <c r="A38" s="37"/>
      <c r="B38" s="74" t="s">
        <v>184</v>
      </c>
      <c r="C38" s="60"/>
      <c r="D38" s="60"/>
      <c r="E38" s="60"/>
      <c r="F38" s="98" t="n">
        <f aca="false">F35+F32</f>
        <v>-14207.89877815</v>
      </c>
      <c r="G38" s="98" t="n">
        <f aca="false">G35+G32</f>
        <v>-25805.0047563795</v>
      </c>
      <c r="H38" s="98" t="n">
        <f aca="false">H35+H32</f>
        <v>-46134.799480463</v>
      </c>
      <c r="I38" s="98" t="n">
        <f aca="false">I35+I32</f>
        <v>-65303.6493241968</v>
      </c>
      <c r="J38" s="60"/>
      <c r="K38" s="99" t="n">
        <f aca="false">K35+K32</f>
        <v>-3376.94563255</v>
      </c>
      <c r="L38" s="98" t="n">
        <f aca="false">L35+L32</f>
        <v>-3122.894038375</v>
      </c>
      <c r="M38" s="98" t="n">
        <f aca="false">M35+M32</f>
        <v>-3319.16674995</v>
      </c>
      <c r="N38" s="98" t="n">
        <f aca="false">N35+N32</f>
        <v>-4388.892357275</v>
      </c>
      <c r="O38" s="99" t="n">
        <f aca="false">O35+O32</f>
        <v>-4584.17343876878</v>
      </c>
      <c r="P38" s="98" t="n">
        <f aca="false">P35+P32</f>
        <v>-6221.91683532795</v>
      </c>
      <c r="Q38" s="98" t="n">
        <f aca="false">Q35+Q32</f>
        <v>-7312.89651369305</v>
      </c>
      <c r="R38" s="98" t="n">
        <f aca="false">R35+R32</f>
        <v>-7686.01796858974</v>
      </c>
      <c r="S38" s="99" t="n">
        <f aca="false">S35+S32</f>
        <v>-9927.80274365259</v>
      </c>
      <c r="T38" s="98" t="n">
        <f aca="false">T35+T32</f>
        <v>-11033.5041048741</v>
      </c>
      <c r="U38" s="98" t="n">
        <f aca="false">U35+U32</f>
        <v>-12433.4765179155</v>
      </c>
      <c r="V38" s="98" t="n">
        <f aca="false">V35+V32</f>
        <v>-12740.0161140208</v>
      </c>
      <c r="W38" s="99" t="n">
        <f aca="false">W35+W32</f>
        <v>-13590.9207211498</v>
      </c>
      <c r="X38" s="98" t="n">
        <f aca="false">X35+X32</f>
        <v>-15377.6351964735</v>
      </c>
      <c r="Y38" s="98" t="n">
        <f aca="false">Y35+Y32</f>
        <v>-17337.7749184328</v>
      </c>
      <c r="Z38" s="100" t="n">
        <f aca="false">Z35+Z32</f>
        <v>-18997.3184881407</v>
      </c>
      <c r="AA38" s="35"/>
    </row>
    <row r="39" customFormat="false" ht="17.25" hidden="false" customHeight="true" outlineLevel="0" collapsed="false">
      <c r="A39" s="37"/>
      <c r="B39" s="82" t="s">
        <v>181</v>
      </c>
      <c r="C39" s="34"/>
      <c r="D39" s="34"/>
      <c r="E39" s="34"/>
      <c r="F39" s="83" t="n">
        <f aca="false">(F38/F$25)</f>
        <v>-1.66903916968523</v>
      </c>
      <c r="G39" s="83" t="n">
        <f aca="false">(G38/G$25)</f>
        <v>-1.51967605574189</v>
      </c>
      <c r="H39" s="83" t="n">
        <f aca="false">(H38/H$25)</f>
        <v>-1.30175742196612</v>
      </c>
      <c r="I39" s="83" t="n">
        <f aca="false">(I38/I$25)</f>
        <v>-0.925233397533587</v>
      </c>
      <c r="J39" s="67"/>
      <c r="K39" s="84" t="n">
        <f aca="false">(K38/K$25)</f>
        <v>-1.96988692220776</v>
      </c>
      <c r="L39" s="83" t="n">
        <f aca="false">(L38/L$25)</f>
        <v>-1.67455615963337</v>
      </c>
      <c r="M39" s="83" t="n">
        <f aca="false">(M38/M$25)</f>
        <v>-1.55993465361976</v>
      </c>
      <c r="N39" s="83" t="n">
        <f aca="false">(N38/N$25)</f>
        <v>-1.56429447519565</v>
      </c>
      <c r="O39" s="84" t="n">
        <f aca="false">(O38/O$25)</f>
        <v>-1.39671084881323</v>
      </c>
      <c r="P39" s="83" t="n">
        <f aca="false">(P38/P$25)</f>
        <v>-1.63354876341193</v>
      </c>
      <c r="Q39" s="83" t="n">
        <f aca="false">(Q38/Q$25)</f>
        <v>-1.61840244500876</v>
      </c>
      <c r="R39" s="83" t="n">
        <f aca="false">(R38/R$25)</f>
        <v>-1.43100817834098</v>
      </c>
      <c r="S39" s="84" t="n">
        <f aca="false">(S38/S$25)</f>
        <v>-1.54384639189584</v>
      </c>
      <c r="T39" s="83" t="n">
        <f aca="false">(T38/T$25)</f>
        <v>-1.41116996927337</v>
      </c>
      <c r="U39" s="83" t="n">
        <f aca="false">(U38/U$25)</f>
        <v>-1.29834188436015</v>
      </c>
      <c r="V39" s="83" t="n">
        <f aca="false">(V38/V$25)</f>
        <v>-1.09688598432501</v>
      </c>
      <c r="W39" s="84" t="n">
        <f aca="false">(W38/W$25)</f>
        <v>-0.978914627750946</v>
      </c>
      <c r="X39" s="83" t="n">
        <f aca="false">(X38/X$25)</f>
        <v>-0.944637177637662</v>
      </c>
      <c r="Y39" s="83" t="n">
        <f aca="false">(Y38/Y$25)</f>
        <v>-0.918581807628826</v>
      </c>
      <c r="Z39" s="85" t="n">
        <f aca="false">(Z38/Z$25)</f>
        <v>-0.88180450150203</v>
      </c>
      <c r="AA39" s="35"/>
    </row>
    <row r="40" customFormat="false" ht="6" hidden="false" customHeight="true" outlineLevel="0" collapsed="false">
      <c r="A40" s="67"/>
      <c r="B40" s="58"/>
      <c r="C40" s="34"/>
      <c r="D40" s="34"/>
      <c r="E40" s="34"/>
      <c r="F40" s="68"/>
      <c r="G40" s="68"/>
      <c r="H40" s="68"/>
      <c r="I40" s="34"/>
      <c r="J40" s="34"/>
      <c r="K40" s="69"/>
      <c r="L40" s="68"/>
      <c r="M40" s="68"/>
      <c r="N40" s="68"/>
      <c r="O40" s="69"/>
      <c r="P40" s="68"/>
      <c r="Q40" s="68"/>
      <c r="R40" s="68"/>
      <c r="S40" s="69"/>
      <c r="T40" s="68"/>
      <c r="U40" s="68"/>
      <c r="V40" s="68"/>
      <c r="W40" s="69"/>
      <c r="X40" s="68"/>
      <c r="Y40" s="68"/>
      <c r="Z40" s="70"/>
      <c r="AA40" s="35"/>
    </row>
    <row r="41" customFormat="false" ht="17.25" hidden="false" customHeight="true" outlineLevel="0" collapsed="false">
      <c r="A41" s="37"/>
      <c r="B41" s="58" t="s">
        <v>185</v>
      </c>
      <c r="C41" s="34"/>
      <c r="D41" s="34"/>
      <c r="E41" s="34"/>
      <c r="F41" s="68" t="n">
        <f aca="false">SUM(K41:N41)</f>
        <v>-8379.61464</v>
      </c>
      <c r="G41" s="68" t="n">
        <f aca="false">SUM(O41:R41)</f>
        <v>-14063.8344411537</v>
      </c>
      <c r="H41" s="68" t="n">
        <f aca="false">SUM(S41:V41)</f>
        <v>-22191.4118742331</v>
      </c>
      <c r="I41" s="68" t="n">
        <f aca="false">SUM(W41:Z41)</f>
        <v>-31273.0430995812</v>
      </c>
      <c r="J41" s="68"/>
      <c r="K41" s="69" t="n">
        <v>-2038.54084</v>
      </c>
      <c r="L41" s="68" t="n">
        <v>-2110.79085</v>
      </c>
      <c r="M41" s="68" t="n">
        <v>-2046.75105</v>
      </c>
      <c r="N41" s="68" t="n">
        <v>-2183.5319</v>
      </c>
      <c r="O41" s="69" t="n">
        <v>-2418.42265665918</v>
      </c>
      <c r="P41" s="68" t="n">
        <v>-3377.19100996119</v>
      </c>
      <c r="Q41" s="68" t="n">
        <v>-3890.94042697355</v>
      </c>
      <c r="R41" s="68" t="n">
        <v>-4377.28034755982</v>
      </c>
      <c r="S41" s="69" t="n">
        <v>-5013.66095923881</v>
      </c>
      <c r="T41" s="68" t="n">
        <v>-5506.00097115649</v>
      </c>
      <c r="U41" s="68" t="n">
        <v>-5653.59515186224</v>
      </c>
      <c r="V41" s="68" t="n">
        <v>-6018.15479197553</v>
      </c>
      <c r="W41" s="69" t="n">
        <v>-6705.51185608991</v>
      </c>
      <c r="X41" s="68" t="n">
        <v>-7495.43715293313</v>
      </c>
      <c r="Y41" s="68" t="n">
        <v>-8222.12186414491</v>
      </c>
      <c r="Z41" s="70" t="n">
        <v>-8849.9722264133</v>
      </c>
      <c r="AA41" s="35"/>
    </row>
    <row r="42" customFormat="false" ht="17.25" hidden="false" customHeight="true" outlineLevel="0" collapsed="false">
      <c r="A42" s="37"/>
      <c r="B42" s="82" t="s">
        <v>181</v>
      </c>
      <c r="C42" s="34"/>
      <c r="D42" s="34"/>
      <c r="E42" s="34"/>
      <c r="F42" s="83" t="n">
        <f aca="false">(F41/F$25)</f>
        <v>-0.984375330892444</v>
      </c>
      <c r="G42" s="83" t="n">
        <f aca="false">(G41/G$25)</f>
        <v>-0.828229742792657</v>
      </c>
      <c r="H42" s="83" t="n">
        <f aca="false">(H41/H$25)</f>
        <v>-0.62616149710206</v>
      </c>
      <c r="I42" s="83" t="n">
        <f aca="false">(I41/I$25)</f>
        <v>-0.443081883136334</v>
      </c>
      <c r="J42" s="67"/>
      <c r="K42" s="84" t="n">
        <f aca="false">(K41/K$25)</f>
        <v>-1.18915001248335</v>
      </c>
      <c r="L42" s="83" t="n">
        <f aca="false">(L41/L$25)</f>
        <v>-1.13184686259944</v>
      </c>
      <c r="M42" s="83" t="n">
        <f aca="false">(M41/M$25)</f>
        <v>-0.961927535058526</v>
      </c>
      <c r="N42" s="83" t="n">
        <f aca="false">(N41/N$25)</f>
        <v>-0.778257156824921</v>
      </c>
      <c r="O42" s="84" t="n">
        <f aca="false">(O41/O$25)</f>
        <v>-0.736847592415441</v>
      </c>
      <c r="P42" s="83" t="n">
        <f aca="false">(P41/P$25)</f>
        <v>-0.886673085503756</v>
      </c>
      <c r="Q42" s="83" t="n">
        <f aca="false">(Q41/Q$25)</f>
        <v>-0.861096213874543</v>
      </c>
      <c r="R42" s="83" t="n">
        <f aca="false">(R41/R$25)</f>
        <v>-0.814976493920253</v>
      </c>
      <c r="S42" s="84" t="n">
        <f aca="false">(S41/S$25)</f>
        <v>-0.779661178004236</v>
      </c>
      <c r="T42" s="83" t="n">
        <f aca="false">(T41/T$25)</f>
        <v>-0.704209936157424</v>
      </c>
      <c r="U42" s="83" t="n">
        <f aca="false">(U41/U$25)</f>
        <v>-0.59036580575847</v>
      </c>
      <c r="V42" s="83" t="n">
        <f aca="false">(V41/V$25)</f>
        <v>-0.518149238096449</v>
      </c>
      <c r="W42" s="84" t="n">
        <f aca="false">(W41/W$25)</f>
        <v>-0.482978583803298</v>
      </c>
      <c r="X42" s="83" t="n">
        <f aca="false">(X41/X$25)</f>
        <v>-0.460439365796046</v>
      </c>
      <c r="Y42" s="83" t="n">
        <f aca="false">(Y41/Y$25)</f>
        <v>-0.435620579921188</v>
      </c>
      <c r="Z42" s="85" t="n">
        <f aca="false">(Z41/Z$25)</f>
        <v>-0.410791941625387</v>
      </c>
      <c r="AA42" s="35"/>
    </row>
    <row r="43" customFormat="false" ht="6" hidden="false" customHeight="true" outlineLevel="0" collapsed="false">
      <c r="A43" s="67"/>
      <c r="B43" s="58"/>
      <c r="C43" s="34"/>
      <c r="D43" s="34"/>
      <c r="E43" s="34"/>
      <c r="F43" s="68"/>
      <c r="G43" s="68"/>
      <c r="H43" s="68"/>
      <c r="I43" s="34"/>
      <c r="J43" s="34"/>
      <c r="K43" s="69"/>
      <c r="L43" s="68"/>
      <c r="M43" s="68"/>
      <c r="N43" s="68"/>
      <c r="O43" s="69"/>
      <c r="P43" s="68"/>
      <c r="Q43" s="68"/>
      <c r="R43" s="68"/>
      <c r="S43" s="69"/>
      <c r="T43" s="68"/>
      <c r="U43" s="68"/>
      <c r="V43" s="68"/>
      <c r="W43" s="69"/>
      <c r="X43" s="68"/>
      <c r="Y43" s="68"/>
      <c r="Z43" s="70"/>
      <c r="AA43" s="35"/>
    </row>
    <row r="44" customFormat="false" ht="17.25" hidden="false" customHeight="true" outlineLevel="0" collapsed="false">
      <c r="A44" s="37"/>
      <c r="B44" s="58" t="s">
        <v>186</v>
      </c>
      <c r="C44" s="34"/>
      <c r="D44" s="34"/>
      <c r="E44" s="34"/>
      <c r="F44" s="68" t="n">
        <f aca="false">SUM(K44:N44)</f>
        <v>-3084.13044</v>
      </c>
      <c r="G44" s="68" t="n">
        <f aca="false">SUM(O44:R44)</f>
        <v>-6201.85481230734</v>
      </c>
      <c r="H44" s="68" t="n">
        <f aca="false">SUM(S44:V44)</f>
        <v>-8085.2644493904</v>
      </c>
      <c r="I44" s="68" t="n">
        <f aca="false">SUM(W44:Z44)</f>
        <v>-14648.7143342055</v>
      </c>
      <c r="J44" s="68"/>
      <c r="K44" s="69" t="n">
        <v>-659.15727</v>
      </c>
      <c r="L44" s="68" t="n">
        <v>-741.2412</v>
      </c>
      <c r="M44" s="68" t="n">
        <v>-799.55827</v>
      </c>
      <c r="N44" s="68" t="n">
        <v>-884.1737</v>
      </c>
      <c r="O44" s="69" t="n">
        <v>-1299.95927147442</v>
      </c>
      <c r="P44" s="68" t="n">
        <v>-1680.86140293723</v>
      </c>
      <c r="Q44" s="68" t="n">
        <v>-1672.29241875927</v>
      </c>
      <c r="R44" s="68" t="n">
        <v>-1548.74171913642</v>
      </c>
      <c r="S44" s="69" t="n">
        <v>-1831.33911530444</v>
      </c>
      <c r="T44" s="68" t="n">
        <v>-2068.23368870925</v>
      </c>
      <c r="U44" s="68" t="n">
        <v>-2082.91322466733</v>
      </c>
      <c r="V44" s="68" t="n">
        <v>-2102.77842070938</v>
      </c>
      <c r="W44" s="69" t="n">
        <v>-2835.83580709149</v>
      </c>
      <c r="X44" s="68" t="n">
        <v>-3363.38552114811</v>
      </c>
      <c r="Y44" s="68" t="n">
        <v>-3928.63383779161</v>
      </c>
      <c r="Z44" s="70" t="n">
        <v>-4520.85916817426</v>
      </c>
      <c r="AA44" s="35"/>
    </row>
    <row r="45" customFormat="false" ht="17.25" hidden="false" customHeight="true" outlineLevel="0" collapsed="false">
      <c r="A45" s="37"/>
      <c r="B45" s="82" t="s">
        <v>181</v>
      </c>
      <c r="C45" s="34"/>
      <c r="D45" s="34"/>
      <c r="E45" s="34"/>
      <c r="F45" s="83" t="n">
        <f aca="false">(F44/F$25)</f>
        <v>-0.362300899602044</v>
      </c>
      <c r="G45" s="83" t="n">
        <f aca="false">(G44/G$25)</f>
        <v>-0.365231874530893</v>
      </c>
      <c r="H45" s="83" t="n">
        <f aca="false">(H44/H$25)</f>
        <v>-0.228136962208103</v>
      </c>
      <c r="I45" s="83" t="n">
        <f aca="false">(I44/I$25)</f>
        <v>-0.20754551810191</v>
      </c>
      <c r="J45" s="67"/>
      <c r="K45" s="84" t="n">
        <f aca="false">(K44/K$25)</f>
        <v>-0.384508792008792</v>
      </c>
      <c r="L45" s="83" t="n">
        <f aca="false">(L44/L$25)</f>
        <v>-0.397467862175662</v>
      </c>
      <c r="M45" s="83" t="n">
        <f aca="false">(M44/M$25)</f>
        <v>-0.375774628671503</v>
      </c>
      <c r="N45" s="83" t="n">
        <f aca="false">(N44/N$25)</f>
        <v>-0.315138290354893</v>
      </c>
      <c r="O45" s="84" t="n">
        <f aca="false">(O44/O$25)</f>
        <v>-0.396072976237854</v>
      </c>
      <c r="P45" s="83" t="n">
        <f aca="false">(P44/P$25)</f>
        <v>-0.441305973529655</v>
      </c>
      <c r="Q45" s="83" t="n">
        <f aca="false">(Q44/Q$25)</f>
        <v>-0.370091677657674</v>
      </c>
      <c r="R45" s="83" t="n">
        <f aca="false">(R44/R$25)</f>
        <v>-0.288349841918042</v>
      </c>
      <c r="S45" s="84" t="n">
        <f aca="false">(S44/S$25)</f>
        <v>-0.284786710464018</v>
      </c>
      <c r="T45" s="83" t="n">
        <f aca="false">(T44/T$25)</f>
        <v>-0.264524238465336</v>
      </c>
      <c r="U45" s="83" t="n">
        <f aca="false">(U44/U$25)</f>
        <v>-0.217504209476453</v>
      </c>
      <c r="V45" s="83" t="n">
        <f aca="false">(V44/V$25)</f>
        <v>-0.181044368953256</v>
      </c>
      <c r="W45" s="84" t="n">
        <f aca="false">(W44/W$25)</f>
        <v>-0.204257033825661</v>
      </c>
      <c r="X45" s="83" t="n">
        <f aca="false">(X44/X$25)</f>
        <v>-0.206610377045056</v>
      </c>
      <c r="Y45" s="83" t="n">
        <f aca="false">(Y44/Y$25)</f>
        <v>-0.208145023753521</v>
      </c>
      <c r="Z45" s="85" t="n">
        <f aca="false">(Z44/Z$25)</f>
        <v>-0.209846140529855</v>
      </c>
      <c r="AA45" s="35"/>
    </row>
    <row r="46" customFormat="false" ht="11.25" hidden="false" customHeight="true" outlineLevel="0" collapsed="false">
      <c r="A46" s="67"/>
      <c r="B46" s="58"/>
      <c r="C46" s="34"/>
      <c r="D46" s="34"/>
      <c r="E46" s="34"/>
      <c r="F46" s="68"/>
      <c r="G46" s="68"/>
      <c r="H46" s="68"/>
      <c r="I46" s="34"/>
      <c r="J46" s="34"/>
      <c r="K46" s="69"/>
      <c r="L46" s="68"/>
      <c r="M46" s="68"/>
      <c r="N46" s="68"/>
      <c r="O46" s="69"/>
      <c r="P46" s="68"/>
      <c r="Q46" s="68"/>
      <c r="R46" s="68"/>
      <c r="S46" s="69"/>
      <c r="T46" s="68"/>
      <c r="U46" s="68"/>
      <c r="V46" s="68"/>
      <c r="W46" s="69"/>
      <c r="X46" s="68"/>
      <c r="Y46" s="68"/>
      <c r="Z46" s="70"/>
      <c r="AA46" s="35"/>
    </row>
    <row r="47" customFormat="false" ht="17.25" hidden="false" customHeight="true" outlineLevel="0" collapsed="false">
      <c r="A47" s="37"/>
      <c r="B47" s="78" t="s">
        <v>187</v>
      </c>
      <c r="C47" s="101"/>
      <c r="D47" s="101"/>
      <c r="E47" s="101"/>
      <c r="F47" s="102" t="n">
        <f aca="false">F44+F41+F38</f>
        <v>-25671.64385815</v>
      </c>
      <c r="G47" s="102" t="n">
        <f aca="false">G44+G41+G38</f>
        <v>-46070.6940098406</v>
      </c>
      <c r="H47" s="102" t="n">
        <f aca="false">H44+H41+H38</f>
        <v>-76411.4758040865</v>
      </c>
      <c r="I47" s="102" t="n">
        <f aca="false">I44+I41+I38</f>
        <v>-111225.406757984</v>
      </c>
      <c r="J47" s="101"/>
      <c r="K47" s="103" t="n">
        <f aca="false">K44+K41+K38</f>
        <v>-6074.64374255</v>
      </c>
      <c r="L47" s="102" t="n">
        <f aca="false">L44+L41+L38</f>
        <v>-5974.926088375</v>
      </c>
      <c r="M47" s="102" t="n">
        <f aca="false">M44+M41+M38</f>
        <v>-6165.47606995</v>
      </c>
      <c r="N47" s="102" t="n">
        <f aca="false">N44+N41+N38</f>
        <v>-7456.597957275</v>
      </c>
      <c r="O47" s="103" t="n">
        <f aca="false">O44+O41+O38</f>
        <v>-8302.55536690239</v>
      </c>
      <c r="P47" s="102" t="n">
        <f aca="false">P44+P41+P38</f>
        <v>-11279.9692482264</v>
      </c>
      <c r="Q47" s="102" t="n">
        <f aca="false">Q44+Q41+Q38</f>
        <v>-12876.1293594259</v>
      </c>
      <c r="R47" s="102" t="n">
        <f aca="false">R44+R41+R38</f>
        <v>-13612.040035286</v>
      </c>
      <c r="S47" s="103" t="n">
        <f aca="false">S44+S41+S38</f>
        <v>-16772.8028181958</v>
      </c>
      <c r="T47" s="102" t="n">
        <f aca="false">T44+T41+T38</f>
        <v>-18607.7387647398</v>
      </c>
      <c r="U47" s="102" t="n">
        <f aca="false">U44+U41+U38</f>
        <v>-20169.9848944451</v>
      </c>
      <c r="V47" s="102" t="n">
        <f aca="false">V44+V41+V38</f>
        <v>-20860.9493267058</v>
      </c>
      <c r="W47" s="103" t="n">
        <f aca="false">W44+W41+W38</f>
        <v>-23132.2683843312</v>
      </c>
      <c r="X47" s="102" t="n">
        <f aca="false">X44+X41+X38</f>
        <v>-26236.4578705548</v>
      </c>
      <c r="Y47" s="102" t="n">
        <f aca="false">Y44+Y41+Y38</f>
        <v>-29488.5306203693</v>
      </c>
      <c r="Z47" s="104" t="n">
        <f aca="false">Z44+Z41+Z38</f>
        <v>-32368.1498827283</v>
      </c>
      <c r="AA47" s="35"/>
    </row>
    <row r="48" customFormat="false" ht="17.25" hidden="false" customHeight="true" outlineLevel="0" collapsed="false">
      <c r="A48" s="37"/>
      <c r="B48" s="82" t="s">
        <v>181</v>
      </c>
      <c r="C48" s="34"/>
      <c r="D48" s="34"/>
      <c r="E48" s="34"/>
      <c r="F48" s="83" t="n">
        <f aca="false">(F47/F$25)</f>
        <v>-3.01571540017971</v>
      </c>
      <c r="G48" s="83" t="n">
        <f aca="false">(G47/G$25)</f>
        <v>-2.71313767306544</v>
      </c>
      <c r="H48" s="83" t="n">
        <f aca="false">(H47/H$25)</f>
        <v>-2.15605588127629</v>
      </c>
      <c r="I48" s="83" t="n">
        <f aca="false">(I47/I$25)</f>
        <v>-1.57586079877183</v>
      </c>
      <c r="J48" s="67"/>
      <c r="K48" s="84" t="n">
        <f aca="false">(K47/K$25)</f>
        <v>-3.54354572669989</v>
      </c>
      <c r="L48" s="83" t="n">
        <f aca="false">(L47/L$25)</f>
        <v>-3.20387088440847</v>
      </c>
      <c r="M48" s="83" t="n">
        <f aca="false">(M47/M$25)</f>
        <v>-2.89763681734978</v>
      </c>
      <c r="N48" s="83" t="n">
        <f aca="false">(N47/N$25)</f>
        <v>-2.65768992237547</v>
      </c>
      <c r="O48" s="84" t="n">
        <f aca="false">(O47/O$25)</f>
        <v>-2.52963141746652</v>
      </c>
      <c r="P48" s="83" t="n">
        <f aca="false">(P47/P$25)</f>
        <v>-2.96152782244534</v>
      </c>
      <c r="Q48" s="83" t="n">
        <f aca="false">(Q47/Q$25)</f>
        <v>-2.84959033654098</v>
      </c>
      <c r="R48" s="83" t="n">
        <f aca="false">(R47/R$25)</f>
        <v>-2.53433451417927</v>
      </c>
      <c r="S48" s="84" t="n">
        <f aca="false">(S47/S$25)</f>
        <v>-2.60829428036409</v>
      </c>
      <c r="T48" s="83" t="n">
        <f aca="false">(T47/T$25)</f>
        <v>-2.37990414389613</v>
      </c>
      <c r="U48" s="83" t="n">
        <f aca="false">(U47/U$25)</f>
        <v>-2.10621189959507</v>
      </c>
      <c r="V48" s="83" t="n">
        <f aca="false">(V47/V$25)</f>
        <v>-1.79607959137472</v>
      </c>
      <c r="W48" s="84" t="n">
        <f aca="false">(W47/W$25)</f>
        <v>-1.6661502453799</v>
      </c>
      <c r="X48" s="83" t="n">
        <f aca="false">(X47/X$25)</f>
        <v>-1.61168692047876</v>
      </c>
      <c r="Y48" s="83" t="n">
        <f aca="false">(Y47/Y$25)</f>
        <v>-1.56234741130354</v>
      </c>
      <c r="Z48" s="85" t="n">
        <f aca="false">(Z47/Z$25)</f>
        <v>-1.50244258365727</v>
      </c>
      <c r="AA48" s="35"/>
    </row>
    <row r="49" customFormat="false" ht="6" hidden="false" customHeight="true" outlineLevel="0" collapsed="false">
      <c r="A49" s="67"/>
      <c r="B49" s="58"/>
      <c r="C49" s="34"/>
      <c r="D49" s="34"/>
      <c r="E49" s="34"/>
      <c r="F49" s="68"/>
      <c r="G49" s="68"/>
      <c r="H49" s="68"/>
      <c r="I49" s="34"/>
      <c r="J49" s="34"/>
      <c r="K49" s="69"/>
      <c r="L49" s="68"/>
      <c r="M49" s="68"/>
      <c r="N49" s="68"/>
      <c r="O49" s="69"/>
      <c r="P49" s="68"/>
      <c r="Q49" s="68"/>
      <c r="R49" s="68"/>
      <c r="S49" s="69"/>
      <c r="T49" s="68"/>
      <c r="U49" s="68"/>
      <c r="V49" s="68"/>
      <c r="W49" s="69"/>
      <c r="X49" s="68"/>
      <c r="Y49" s="68"/>
      <c r="Z49" s="70"/>
      <c r="AA49" s="35"/>
    </row>
    <row r="50" customFormat="false" ht="17.25" hidden="false" customHeight="true" outlineLevel="0" collapsed="false">
      <c r="A50" s="34"/>
      <c r="B50" s="86" t="s">
        <v>188</v>
      </c>
      <c r="C50" s="87"/>
      <c r="D50" s="87"/>
      <c r="E50" s="87"/>
      <c r="F50" s="87" t="n">
        <f aca="false">F47+F29</f>
        <v>-20176.9866394822</v>
      </c>
      <c r="G50" s="87" t="n">
        <f aca="false">G47+G29</f>
        <v>-34454.1402255563</v>
      </c>
      <c r="H50" s="87" t="n">
        <f aca="false">H47+H29</f>
        <v>-50423.0147185071</v>
      </c>
      <c r="I50" s="87" t="n">
        <f aca="false">I47+I29</f>
        <v>-57686.8232294192</v>
      </c>
      <c r="J50" s="87"/>
      <c r="K50" s="88" t="n">
        <f aca="false">K47+K29</f>
        <v>-5027.9628634</v>
      </c>
      <c r="L50" s="87" t="n">
        <f aca="false">L47+L29</f>
        <v>-4797.20991103531</v>
      </c>
      <c r="M50" s="87" t="n">
        <f aca="false">M47+M29</f>
        <v>-4783.17172392561</v>
      </c>
      <c r="N50" s="87" t="n">
        <f aca="false">N47+N29</f>
        <v>-5568.64214112126</v>
      </c>
      <c r="O50" s="88" t="n">
        <f aca="false">O47+O29</f>
        <v>-6133.1527993467</v>
      </c>
      <c r="P50" s="87" t="n">
        <f aca="false">P47+P29</f>
        <v>-8733.95828590707</v>
      </c>
      <c r="Q50" s="87" t="n">
        <f aca="false">Q47+Q29</f>
        <v>-9782.86348141278</v>
      </c>
      <c r="R50" s="87" t="n">
        <f aca="false">R47+R29</f>
        <v>-9804.16565888972</v>
      </c>
      <c r="S50" s="88" t="n">
        <f aca="false">S47+S29</f>
        <v>-12206.9607086676</v>
      </c>
      <c r="T50" s="87" t="n">
        <f aca="false">T47+T29</f>
        <v>-12975.6699687172</v>
      </c>
      <c r="U50" s="87" t="n">
        <f aca="false">U47+U29</f>
        <v>-13112.8327533185</v>
      </c>
      <c r="V50" s="87" t="n">
        <f aca="false">V47+V29</f>
        <v>-12127.5512878038</v>
      </c>
      <c r="W50" s="88" t="n">
        <f aca="false">W47+W29</f>
        <v>-12606.3436122041</v>
      </c>
      <c r="X50" s="87" t="n">
        <f aca="false">X47+X29</f>
        <v>-13899.6293477993</v>
      </c>
      <c r="Y50" s="87" t="n">
        <f aca="false">Y47+Y29</f>
        <v>-15170.1785392955</v>
      </c>
      <c r="Z50" s="89" t="n">
        <f aca="false">Z47+Z29</f>
        <v>-16010.6717301203</v>
      </c>
      <c r="AA50" s="35"/>
    </row>
    <row r="51" customFormat="false" ht="17.25" hidden="false" customHeight="true" outlineLevel="0" collapsed="false">
      <c r="A51" s="37"/>
      <c r="B51" s="90" t="s">
        <v>181</v>
      </c>
      <c r="C51" s="91"/>
      <c r="D51" s="91"/>
      <c r="E51" s="91"/>
      <c r="F51" s="92" t="n">
        <f aca="false">(F50/F$25)</f>
        <v>-2.37024359149441</v>
      </c>
      <c r="G51" s="92" t="n">
        <f aca="false">(G50/G$25)</f>
        <v>-2.02903012094997</v>
      </c>
      <c r="H51" s="92" t="n">
        <f aca="false">(H50/H$25)</f>
        <v>-1.42275536876496</v>
      </c>
      <c r="I51" s="92" t="n">
        <f aca="false">(I50/I$25)</f>
        <v>-0.817316888134437</v>
      </c>
      <c r="J51" s="105"/>
      <c r="K51" s="93" t="n">
        <f aca="false">(K50/K$25)</f>
        <v>-2.9329812699646</v>
      </c>
      <c r="L51" s="92" t="n">
        <f aca="false">(L50/L$25)</f>
        <v>-2.57235670082438</v>
      </c>
      <c r="M51" s="92" t="n">
        <f aca="false">(M50/M$25)</f>
        <v>-2.24798447576582</v>
      </c>
      <c r="N51" s="92" t="n">
        <f aca="false">(N50/N$25)</f>
        <v>-1.98478236114822</v>
      </c>
      <c r="O51" s="93" t="n">
        <f aca="false">(O50/O$25)</f>
        <v>-1.8686555311872</v>
      </c>
      <c r="P51" s="92" t="n">
        <f aca="false">(P50/P$25)</f>
        <v>-2.29307898759191</v>
      </c>
      <c r="Q51" s="92" t="n">
        <f aca="false">(Q50/Q$25)</f>
        <v>-2.16502587556922</v>
      </c>
      <c r="R51" s="92" t="n">
        <f aca="false">(R50/R$25)</f>
        <v>-1.82537190220168</v>
      </c>
      <c r="S51" s="93" t="n">
        <f aca="false">(S50/S$25)</f>
        <v>-1.89827222928455</v>
      </c>
      <c r="T51" s="92" t="n">
        <f aca="false">(T50/T$25)</f>
        <v>-1.65957030667775</v>
      </c>
      <c r="U51" s="92" t="n">
        <f aca="false">(U50/U$25)</f>
        <v>-1.36928235330735</v>
      </c>
      <c r="V51" s="92" t="n">
        <f aca="false">(V50/V$25)</f>
        <v>-1.04415417631496</v>
      </c>
      <c r="W51" s="93" t="n">
        <f aca="false">(W50/W$25)</f>
        <v>-0.907998392282381</v>
      </c>
      <c r="X51" s="92" t="n">
        <f aca="false">(X50/X$25)</f>
        <v>-0.853844331040305</v>
      </c>
      <c r="Y51" s="92" t="n">
        <f aca="false">(Y50/Y$25)</f>
        <v>-0.803739239333585</v>
      </c>
      <c r="Z51" s="94" t="n">
        <f aca="false">(Z50/Z$25)</f>
        <v>-0.74317238048648</v>
      </c>
      <c r="AA51" s="35"/>
    </row>
    <row r="52" customFormat="false" ht="17.25" hidden="false" customHeight="true" outlineLevel="0" collapsed="false">
      <c r="A52" s="37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5"/>
    </row>
    <row r="53" customFormat="false" ht="17.2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5"/>
    </row>
    <row r="54" customFormat="false" ht="17.2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5"/>
    </row>
    <row r="55" customFormat="false" ht="17.2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5"/>
    </row>
    <row r="56" customFormat="false" ht="17.2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5"/>
    </row>
    <row r="57" customFormat="false" ht="17.2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5"/>
    </row>
    <row r="58" customFormat="false" ht="17.2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5"/>
    </row>
    <row r="59" customFormat="false" ht="17.2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5"/>
    </row>
    <row r="60" customFormat="false" ht="17.2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5"/>
    </row>
    <row r="61" customFormat="false" ht="17.2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5"/>
    </row>
    <row r="62" customFormat="false" ht="17.2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5"/>
    </row>
    <row r="63" customFormat="false" ht="17.2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5"/>
    </row>
    <row r="64" customFormat="false" ht="17.2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5"/>
    </row>
    <row r="65" customFormat="false" ht="17.2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5"/>
    </row>
    <row r="66" customFormat="false" ht="17.2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5"/>
    </row>
    <row r="67" customFormat="false" ht="17.2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5"/>
    </row>
    <row r="68" customFormat="false" ht="17.2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5"/>
    </row>
    <row r="69" customFormat="false" ht="17.2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5"/>
    </row>
    <row r="70" customFormat="false" ht="17.2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5"/>
    </row>
    <row r="71" customFormat="false" ht="17.2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5"/>
    </row>
    <row r="72" customFormat="false" ht="17.2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5"/>
    </row>
    <row r="73" customFormat="false" ht="17.2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5"/>
    </row>
    <row r="74" customFormat="false" ht="17.2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7.2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7.2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7.2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7.2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7.2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7.2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7.2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7.2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7.2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7.2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7.2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7.2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7.2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7.2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7.2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7.2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7.2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7.2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7.2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7.2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7.2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7.2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7.2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7.2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7.2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7.2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7.2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7.2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7.2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7.2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7.2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7.2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7.2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7.2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7.2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7.2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7.2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7.2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7.2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7.2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7.2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7.2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7.2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7.2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7.2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7.2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7.2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7.2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7.2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7.2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7.2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7.2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7.2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7.2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7.2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7.2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7.2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7.2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7.2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7.2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7.2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7.2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5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5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5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5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5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5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5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5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5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5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5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5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5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5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5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5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customFormat="false" ht="15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customFormat="false" ht="15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customFormat="false" ht="15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customFormat="false" ht="15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customFormat="false" ht="15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customFormat="false" ht="15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customFormat="false" ht="15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customFormat="false" ht="15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customFormat="false" ht="15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customFormat="false" ht="15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customFormat="false" ht="15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customFormat="false" ht="15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customFormat="false" ht="15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customFormat="false" ht="15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customFormat="false" ht="15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customFormat="false" ht="15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customFormat="false" ht="15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customFormat="false" ht="15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customFormat="false" ht="15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customFormat="false" ht="15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customFormat="false" ht="15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customFormat="false" ht="15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customFormat="false" ht="15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customFormat="false" ht="15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customFormat="false" ht="15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customFormat="false" ht="15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customFormat="false" ht="15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customFormat="false" ht="15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customFormat="false" ht="15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customFormat="false" ht="15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customFormat="false" ht="15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customFormat="false" ht="15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customFormat="false" ht="15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customFormat="false" ht="15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customFormat="false" ht="15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customFormat="false" ht="15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customFormat="false" ht="15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customFormat="false" ht="15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customFormat="false" ht="15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customFormat="false" ht="15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customFormat="false" ht="15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customFormat="false" ht="15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customFormat="false" ht="15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customFormat="false" ht="15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customFormat="false" ht="15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customFormat="false" ht="15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customFormat="false" ht="15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customFormat="false" ht="15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customFormat="false" ht="15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customFormat="false" ht="15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customFormat="false" ht="15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customFormat="false" ht="15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customFormat="false" ht="15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customFormat="false" ht="15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customFormat="false" ht="15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customFormat="false" ht="15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customFormat="false" ht="15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customFormat="false" ht="15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customFormat="false" ht="15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customFormat="false" ht="15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customFormat="false" ht="15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customFormat="false" ht="15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customFormat="false" ht="15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customFormat="false" ht="15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customFormat="false" ht="15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customFormat="false" ht="15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customFormat="false" ht="15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customFormat="false" ht="15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customFormat="false" ht="15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customFormat="false" ht="15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customFormat="false" ht="15.75" hidden="false" customHeight="true" outlineLevel="0" collapsed="false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customFormat="false" ht="15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customFormat="false" ht="15.75" hidden="false" customHeight="true" outlineLevel="0" collapsed="false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customFormat="false" ht="15.75" hidden="false" customHeight="tru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customFormat="false" ht="15.75" hidden="false" customHeight="true" outlineLevel="0" collapsed="false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customFormat="false" ht="15.75" hidden="false" customHeight="tru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customFormat="false" ht="15.75" hidden="false" customHeight="true" outlineLevel="0" collapsed="false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customFormat="false" ht="15.75" hidden="false" customHeight="tru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customFormat="false" ht="15.75" hidden="false" customHeight="true" outlineLevel="0" collapsed="false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customFormat="false" ht="15.75" hidden="false" customHeight="tru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customFormat="false" ht="15.75" hidden="false" customHeight="true" outlineLevel="0" collapsed="false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customFormat="false" ht="15.75" hidden="false" customHeight="tru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customFormat="false" ht="15.75" hidden="false" customHeight="true" outlineLevel="0" collapsed="false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customFormat="false" ht="15.75" hidden="false" customHeight="tru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customFormat="false" ht="15.75" hidden="false" customHeight="true" outlineLevel="0" collapsed="false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customFormat="false" ht="15.75" hidden="false" customHeight="tru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customFormat="false" ht="15.75" hidden="false" customHeight="true" outlineLevel="0" collapsed="false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customFormat="false" ht="15.75" hidden="false" customHeight="tru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customFormat="false" ht="15.75" hidden="false" customHeight="true" outlineLevel="0" collapsed="false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customFormat="false" ht="15.75" hidden="false" customHeight="tru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customFormat="false" ht="15.75" hidden="false" customHeight="true" outlineLevel="0" collapsed="false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customFormat="false" ht="15.75" hidden="false" customHeight="tru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customFormat="false" ht="15.75" hidden="false" customHeight="true" outlineLevel="0" collapsed="false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customFormat="false" ht="15.75" hidden="false" customHeight="tru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customFormat="false" ht="15.75" hidden="false" customHeight="true" outlineLevel="0" collapsed="false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customFormat="false" ht="15.75" hidden="false" customHeight="tru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customFormat="false" ht="15.75" hidden="false" customHeight="true" outlineLevel="0" collapsed="false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customFormat="false" ht="15.75" hidden="false" customHeight="tru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customFormat="false" ht="15.75" hidden="false" customHeight="true" outlineLevel="0" collapsed="false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customFormat="false" ht="15.75" hidden="false" customHeight="tru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customFormat="false" ht="15.75" hidden="false" customHeight="true" outlineLevel="0" collapsed="false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customFormat="false" ht="15.75" hidden="false" customHeight="tru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customFormat="false" ht="15.75" hidden="false" customHeight="true" outlineLevel="0" collapsed="false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customFormat="false" ht="15.75" hidden="false" customHeight="tru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customFormat="false" ht="15.75" hidden="false" customHeight="true" outlineLevel="0" collapsed="false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customFormat="false" ht="15.75" hidden="false" customHeight="tru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customFormat="false" ht="15.75" hidden="false" customHeight="true" outlineLevel="0" collapsed="false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customFormat="false" ht="15.75" hidden="false" customHeight="tru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customFormat="false" ht="15.75" hidden="false" customHeight="true" outlineLevel="0" collapsed="false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customFormat="false" ht="15.75" hidden="false" customHeight="tru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customFormat="false" ht="15.75" hidden="false" customHeight="true" outlineLevel="0" collapsed="false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customFormat="false" ht="15.75" hidden="false" customHeight="tru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customFormat="false" ht="15.75" hidden="false" customHeight="true" outlineLevel="0" collapsed="false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customFormat="false" ht="15.75" hidden="false" customHeight="tru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customFormat="false" ht="15.75" hidden="false" customHeight="true" outlineLevel="0" collapsed="false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customFormat="false" ht="15.75" hidden="false" customHeight="tru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customFormat="false" ht="15.75" hidden="false" customHeight="true" outlineLevel="0" collapsed="false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customFormat="false" ht="15.75" hidden="false" customHeight="tru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customFormat="false" ht="15.75" hidden="false" customHeight="true" outlineLevel="0" collapsed="false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customFormat="false" ht="15.75" hidden="false" customHeight="tru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customFormat="false" ht="15.75" hidden="false" customHeight="true" outlineLevel="0" collapsed="false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customFormat="false" ht="15.75" hidden="false" customHeight="tru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customFormat="false" ht="15.75" hidden="false" customHeight="true" outlineLevel="0" collapsed="false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customFormat="false" ht="15.75" hidden="false" customHeight="tru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customFormat="false" ht="15.75" hidden="false" customHeight="true" outlineLevel="0" collapsed="false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customFormat="false" ht="15.75" hidden="false" customHeight="tru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customFormat="false" ht="15.75" hidden="false" customHeight="true" outlineLevel="0" collapsed="false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customFormat="false" ht="15.75" hidden="false" customHeight="tru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customFormat="false" ht="15.75" hidden="false" customHeight="true" outlineLevel="0" collapsed="false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customFormat="false" ht="15.75" hidden="false" customHeight="tru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customFormat="false" ht="15.75" hidden="false" customHeight="true" outlineLevel="0" collapsed="false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customFormat="false" ht="15.75" hidden="false" customHeight="tru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customFormat="false" ht="15.75" hidden="false" customHeight="true" outlineLevel="0" collapsed="false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customFormat="false" ht="15.75" hidden="false" customHeight="tru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customFormat="false" ht="15.75" hidden="false" customHeight="true" outlineLevel="0" collapsed="false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customFormat="false" ht="15.75" hidden="false" customHeight="tru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customFormat="false" ht="15.75" hidden="false" customHeight="true" outlineLevel="0" collapsed="false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customFormat="false" ht="15.75" hidden="false" customHeight="tru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customFormat="false" ht="15.75" hidden="false" customHeight="true" outlineLevel="0" collapsed="false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customFormat="false" ht="15.75" hidden="false" customHeight="tru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customFormat="false" ht="15.75" hidden="false" customHeight="true" outlineLevel="0" collapsed="false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customFormat="false" ht="15.75" hidden="false" customHeight="tru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customFormat="false" ht="15.75" hidden="false" customHeight="true" outlineLevel="0" collapsed="false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customFormat="false" ht="15.75" hidden="false" customHeight="tru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customFormat="false" ht="15.75" hidden="false" customHeight="true" outlineLevel="0" collapsed="false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customFormat="false" ht="15.75" hidden="false" customHeight="tru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customFormat="false" ht="15.75" hidden="false" customHeight="true" outlineLevel="0" collapsed="false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customFormat="false" ht="15.75" hidden="false" customHeight="tru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customFormat="false" ht="15.75" hidden="false" customHeight="true" outlineLevel="0" collapsed="false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customFormat="false" ht="15.75" hidden="false" customHeight="tru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customFormat="false" ht="15.75" hidden="false" customHeight="true" outlineLevel="0" collapsed="false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customFormat="false" ht="15.75" hidden="false" customHeight="tru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customFormat="false" ht="15.75" hidden="false" customHeight="true" outlineLevel="0" collapsed="false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customFormat="false" ht="15.75" hidden="false" customHeight="tru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customFormat="false" ht="15.75" hidden="false" customHeight="true" outlineLevel="0" collapsed="false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customFormat="false" ht="15.75" hidden="false" customHeight="tru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customFormat="false" ht="15.75" hidden="false" customHeight="true" outlineLevel="0" collapsed="false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customFormat="false" ht="15.75" hidden="false" customHeight="tru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customFormat="false" ht="15.75" hidden="false" customHeight="true" outlineLevel="0" collapsed="false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customFormat="false" ht="15.75" hidden="false" customHeight="tru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customFormat="false" ht="15.75" hidden="false" customHeight="true" outlineLevel="0" collapsed="false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customFormat="false" ht="15.75" hidden="false" customHeight="tru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customFormat="false" ht="15.75" hidden="false" customHeight="true" outlineLevel="0" collapsed="false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customFormat="false" ht="15.75" hidden="false" customHeight="tru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customFormat="false" ht="15.75" hidden="false" customHeight="true" outlineLevel="0" collapsed="false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customFormat="false" ht="15.75" hidden="false" customHeight="tru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customFormat="false" ht="15.75" hidden="false" customHeight="true" outlineLevel="0" collapsed="false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customFormat="false" ht="15.75" hidden="false" customHeight="tru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customFormat="false" ht="15.75" hidden="false" customHeight="true" outlineLevel="0" collapsed="false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customFormat="false" ht="15.75" hidden="false" customHeight="tru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customFormat="false" ht="15.75" hidden="false" customHeight="true" outlineLevel="0" collapsed="false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customFormat="false" ht="15.75" hidden="false" customHeight="tru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customFormat="false" ht="15.75" hidden="false" customHeight="true" outlineLevel="0" collapsed="false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customFormat="false" ht="15.75" hidden="false" customHeight="tru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customFormat="false" ht="15.75" hidden="false" customHeight="true" outlineLevel="0" collapsed="false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customFormat="false" ht="15.75" hidden="false" customHeight="tru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customFormat="false" ht="15.75" hidden="false" customHeight="true" outlineLevel="0" collapsed="false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customFormat="false" ht="15.75" hidden="false" customHeight="tru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customFormat="false" ht="15.75" hidden="false" customHeight="true" outlineLevel="0" collapsed="false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customFormat="false" ht="15.75" hidden="false" customHeight="tru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customFormat="false" ht="15.75" hidden="false" customHeight="true" outlineLevel="0" collapsed="false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customFormat="false" ht="15.75" hidden="false" customHeight="tru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customFormat="false" ht="15.75" hidden="false" customHeight="true" outlineLevel="0" collapsed="false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customFormat="false" ht="15.75" hidden="false" customHeight="tru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customFormat="false" ht="15.75" hidden="false" customHeight="true" outlineLevel="0" collapsed="false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customFormat="false" ht="15.75" hidden="false" customHeight="tru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customFormat="false" ht="15.75" hidden="false" customHeight="true" outlineLevel="0" collapsed="false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customFormat="false" ht="15.75" hidden="false" customHeight="tru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customFormat="false" ht="15.75" hidden="false" customHeight="true" outlineLevel="0" collapsed="false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customFormat="false" ht="15.75" hidden="false" customHeight="tru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customFormat="false" ht="15.75" hidden="false" customHeight="true" outlineLevel="0" collapsed="false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customFormat="false" ht="15.75" hidden="false" customHeight="tru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customFormat="false" ht="15.75" hidden="false" customHeight="true" outlineLevel="0" collapsed="false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customFormat="false" ht="15.75" hidden="false" customHeight="tru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customFormat="false" ht="15.75" hidden="false" customHeight="true" outlineLevel="0" collapsed="false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customFormat="false" ht="15.75" hidden="false" customHeight="tru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customFormat="false" ht="15.75" hidden="false" customHeight="true" outlineLevel="0" collapsed="false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customFormat="false" ht="15.75" hidden="false" customHeight="tru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customFormat="false" ht="15.75" hidden="false" customHeight="true" outlineLevel="0" collapsed="false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customFormat="false" ht="15.75" hidden="false" customHeight="tru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customFormat="false" ht="15.75" hidden="false" customHeight="true" outlineLevel="0" collapsed="false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customFormat="false" ht="15.75" hidden="false" customHeight="tru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customFormat="false" ht="15.75" hidden="false" customHeight="true" outlineLevel="0" collapsed="false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customFormat="false" ht="15.75" hidden="false" customHeight="tru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customFormat="false" ht="15.75" hidden="false" customHeight="true" outlineLevel="0" collapsed="false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customFormat="false" ht="15.75" hidden="false" customHeight="tru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customFormat="false" ht="15.75" hidden="false" customHeight="true" outlineLevel="0" collapsed="false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customFormat="false" ht="15.75" hidden="false" customHeight="tru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customFormat="false" ht="15.75" hidden="false" customHeight="true" outlineLevel="0" collapsed="false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customFormat="false" ht="15.75" hidden="false" customHeight="tru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customFormat="false" ht="15.75" hidden="false" customHeight="true" outlineLevel="0" collapsed="false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customFormat="false" ht="15.75" hidden="false" customHeight="tru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customFormat="false" ht="15.75" hidden="false" customHeight="true" outlineLevel="0" collapsed="false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customFormat="false" ht="15.75" hidden="false" customHeight="tru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customFormat="false" ht="15.75" hidden="false" customHeight="true" outlineLevel="0" collapsed="false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customFormat="false" ht="15.75" hidden="false" customHeight="tru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customFormat="false" ht="15.75" hidden="false" customHeight="true" outlineLevel="0" collapsed="false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customFormat="false" ht="15.75" hidden="false" customHeight="tru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customFormat="false" ht="15.75" hidden="false" customHeight="true" outlineLevel="0" collapsed="false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customFormat="false" ht="15.75" hidden="false" customHeight="tru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customFormat="false" ht="15.75" hidden="false" customHeight="true" outlineLevel="0" collapsed="false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customFormat="false" ht="15.75" hidden="false" customHeight="tru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customFormat="false" ht="15.75" hidden="false" customHeight="true" outlineLevel="0" collapsed="false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customFormat="false" ht="15.75" hidden="false" customHeight="tru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customFormat="false" ht="15.75" hidden="false" customHeight="true" outlineLevel="0" collapsed="false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customFormat="false" ht="15.75" hidden="false" customHeight="tru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customFormat="false" ht="15.75" hidden="false" customHeight="true" outlineLevel="0" collapsed="false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customFormat="false" ht="15.75" hidden="false" customHeight="tru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customFormat="false" ht="15.75" hidden="false" customHeight="true" outlineLevel="0" collapsed="false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customFormat="false" ht="15.75" hidden="false" customHeight="tru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customFormat="false" ht="15.75" hidden="false" customHeight="true" outlineLevel="0" collapsed="false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customFormat="false" ht="15.75" hidden="false" customHeight="tru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customFormat="false" ht="15.75" hidden="false" customHeight="true" outlineLevel="0" collapsed="false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customFormat="false" ht="15.75" hidden="false" customHeight="tru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customFormat="false" ht="15.75" hidden="false" customHeight="true" outlineLevel="0" collapsed="false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customFormat="false" ht="15.75" hidden="false" customHeight="tru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customFormat="false" ht="15.75" hidden="false" customHeight="true" outlineLevel="0" collapsed="false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customFormat="false" ht="15.75" hidden="false" customHeight="tru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customFormat="false" ht="15.75" hidden="false" customHeight="true" outlineLevel="0" collapsed="false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customFormat="false" ht="15.75" hidden="false" customHeight="tru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customFormat="false" ht="15.75" hidden="false" customHeight="true" outlineLevel="0" collapsed="false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customFormat="false" ht="15.75" hidden="false" customHeight="tru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customFormat="false" ht="15.75" hidden="false" customHeight="true" outlineLevel="0" collapsed="false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customFormat="false" ht="15.75" hidden="false" customHeight="tru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customFormat="false" ht="15.75" hidden="false" customHeight="true" outlineLevel="0" collapsed="false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customFormat="false" ht="15.75" hidden="false" customHeight="tru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customFormat="false" ht="15.75" hidden="false" customHeight="true" outlineLevel="0" collapsed="false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customFormat="false" ht="15.75" hidden="false" customHeight="tru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customFormat="false" ht="15.75" hidden="false" customHeight="true" outlineLevel="0" collapsed="false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customFormat="false" ht="15.75" hidden="false" customHeight="tru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customFormat="false" ht="15.75" hidden="false" customHeight="true" outlineLevel="0" collapsed="false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customFormat="false" ht="15.75" hidden="false" customHeight="tru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customFormat="false" ht="15.75" hidden="false" customHeight="true" outlineLevel="0" collapsed="false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customFormat="false" ht="15.75" hidden="false" customHeight="tru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customFormat="false" ht="15.75" hidden="false" customHeight="true" outlineLevel="0" collapsed="false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customFormat="false" ht="15.75" hidden="false" customHeight="tru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customFormat="false" ht="15.75" hidden="false" customHeight="true" outlineLevel="0" collapsed="false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customFormat="false" ht="15.75" hidden="false" customHeight="tru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customFormat="false" ht="15.75" hidden="false" customHeight="true" outlineLevel="0" collapsed="false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customFormat="false" ht="15.75" hidden="false" customHeight="tru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customFormat="false" ht="15.75" hidden="false" customHeight="true" outlineLevel="0" collapsed="false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customFormat="false" ht="15.75" hidden="false" customHeight="tru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customFormat="false" ht="15.75" hidden="false" customHeight="true" outlineLevel="0" collapsed="false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customFormat="false" ht="15.75" hidden="false" customHeight="tru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customFormat="false" ht="15.75" hidden="false" customHeight="true" outlineLevel="0" collapsed="false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customFormat="false" ht="15.75" hidden="false" customHeight="tru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customFormat="false" ht="15.75" hidden="false" customHeight="true" outlineLevel="0" collapsed="false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customFormat="false" ht="15.75" hidden="false" customHeight="tru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customFormat="false" ht="15.75" hidden="false" customHeight="true" outlineLevel="0" collapsed="false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customFormat="false" ht="15.75" hidden="false" customHeight="tru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customFormat="false" ht="15.75" hidden="false" customHeight="true" outlineLevel="0" collapsed="false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customFormat="false" ht="15.75" hidden="false" customHeight="tru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customFormat="false" ht="15.75" hidden="false" customHeight="true" outlineLevel="0" collapsed="false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customFormat="false" ht="15.75" hidden="false" customHeight="tru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customFormat="false" ht="15.75" hidden="false" customHeight="true" outlineLevel="0" collapsed="false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customFormat="false" ht="15.75" hidden="false" customHeight="tru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customFormat="false" ht="15.75" hidden="false" customHeight="true" outlineLevel="0" collapsed="false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customFormat="false" ht="15.75" hidden="false" customHeight="tru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customFormat="false" ht="15.75" hidden="false" customHeight="true" outlineLevel="0" collapsed="false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customFormat="false" ht="15.75" hidden="false" customHeight="tru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customFormat="false" ht="15.75" hidden="false" customHeight="true" outlineLevel="0" collapsed="false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customFormat="false" ht="15.75" hidden="false" customHeight="tru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customFormat="false" ht="15.75" hidden="false" customHeight="true" outlineLevel="0" collapsed="false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customFormat="false" ht="15.75" hidden="false" customHeight="tru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customFormat="false" ht="15.75" hidden="false" customHeight="true" outlineLevel="0" collapsed="false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customFormat="false" ht="15.75" hidden="false" customHeight="tru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customFormat="false" ht="15.75" hidden="false" customHeight="true" outlineLevel="0" collapsed="false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customFormat="false" ht="15.75" hidden="false" customHeight="tru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customFormat="false" ht="15.75" hidden="false" customHeight="true" outlineLevel="0" collapsed="false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customFormat="false" ht="15.75" hidden="false" customHeight="tru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customFormat="false" ht="15.75" hidden="false" customHeight="true" outlineLevel="0" collapsed="false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customFormat="false" ht="15.75" hidden="false" customHeight="tru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customFormat="false" ht="15.75" hidden="false" customHeight="true" outlineLevel="0" collapsed="false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customFormat="false" ht="15.75" hidden="false" customHeight="tru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customFormat="false" ht="15.75" hidden="false" customHeight="true" outlineLevel="0" collapsed="false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customFormat="false" ht="15.75" hidden="false" customHeight="tru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customFormat="false" ht="15.75" hidden="false" customHeight="true" outlineLevel="0" collapsed="false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customFormat="false" ht="15.75" hidden="false" customHeight="tru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customFormat="false" ht="15.75" hidden="false" customHeight="true" outlineLevel="0" collapsed="false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customFormat="false" ht="15.75" hidden="false" customHeight="tru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customFormat="false" ht="15.75" hidden="false" customHeight="true" outlineLevel="0" collapsed="false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customFormat="false" ht="15.75" hidden="false" customHeight="tru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customFormat="false" ht="15.75" hidden="false" customHeight="true" outlineLevel="0" collapsed="false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customFormat="false" ht="15.75" hidden="false" customHeight="tru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customFormat="false" ht="15.75" hidden="false" customHeight="true" outlineLevel="0" collapsed="false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customFormat="false" ht="15.75" hidden="false" customHeight="tru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customFormat="false" ht="15.75" hidden="false" customHeight="true" outlineLevel="0" collapsed="false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customFormat="false" ht="15.75" hidden="false" customHeight="tru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customFormat="false" ht="15.75" hidden="false" customHeight="true" outlineLevel="0" collapsed="false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customFormat="false" ht="15.75" hidden="false" customHeight="tru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customFormat="false" ht="15.75" hidden="false" customHeight="true" outlineLevel="0" collapsed="false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customFormat="false" ht="15.75" hidden="false" customHeight="tru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customFormat="false" ht="15.75" hidden="false" customHeight="true" outlineLevel="0" collapsed="false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customFormat="false" ht="15.75" hidden="false" customHeight="tru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customFormat="false" ht="15.75" hidden="false" customHeight="true" outlineLevel="0" collapsed="false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customFormat="false" ht="15.75" hidden="false" customHeight="tru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customFormat="false" ht="15.75" hidden="false" customHeight="true" outlineLevel="0" collapsed="false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customFormat="false" ht="15.75" hidden="false" customHeight="tru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customFormat="false" ht="15.75" hidden="false" customHeight="true" outlineLevel="0" collapsed="false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customFormat="false" ht="15.75" hidden="false" customHeight="tru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customFormat="false" ht="15.75" hidden="false" customHeight="true" outlineLevel="0" collapsed="false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customFormat="false" ht="15.75" hidden="false" customHeight="tru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customFormat="false" ht="15.75" hidden="false" customHeight="true" outlineLevel="0" collapsed="false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customFormat="false" ht="15.75" hidden="false" customHeight="tru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customFormat="false" ht="15.75" hidden="false" customHeight="true" outlineLevel="0" collapsed="false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customFormat="false" ht="15.75" hidden="false" customHeight="tru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customFormat="false" ht="15.75" hidden="false" customHeight="true" outlineLevel="0" collapsed="false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customFormat="false" ht="15.75" hidden="false" customHeight="tru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customFormat="false" ht="15.75" hidden="false" customHeight="true" outlineLevel="0" collapsed="false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customFormat="false" ht="15.75" hidden="false" customHeight="tru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customFormat="false" ht="15.75" hidden="false" customHeight="true" outlineLevel="0" collapsed="false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customFormat="false" ht="15.75" hidden="false" customHeight="tru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customFormat="false" ht="15.75" hidden="false" customHeight="true" outlineLevel="0" collapsed="false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customFormat="false" ht="15.75" hidden="false" customHeight="tru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customFormat="false" ht="15.75" hidden="false" customHeight="true" outlineLevel="0" collapsed="false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customFormat="false" ht="15.75" hidden="false" customHeight="tru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customFormat="false" ht="15.75" hidden="false" customHeight="true" outlineLevel="0" collapsed="false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customFormat="false" ht="15.75" hidden="false" customHeight="tru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customFormat="false" ht="15.75" hidden="false" customHeight="true" outlineLevel="0" collapsed="false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customFormat="false" ht="15.75" hidden="false" customHeight="tru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customFormat="false" ht="15.75" hidden="false" customHeight="true" outlineLevel="0" collapsed="false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customFormat="false" ht="15.75" hidden="false" customHeight="tru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customFormat="false" ht="15.75" hidden="false" customHeight="true" outlineLevel="0" collapsed="false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customFormat="false" ht="15.75" hidden="false" customHeight="tru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customFormat="false" ht="15.75" hidden="false" customHeight="true" outlineLevel="0" collapsed="false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customFormat="false" ht="15.75" hidden="false" customHeight="tru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customFormat="false" ht="15.75" hidden="false" customHeight="true" outlineLevel="0" collapsed="false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customFormat="false" ht="15.75" hidden="false" customHeight="tru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customFormat="false" ht="15.75" hidden="false" customHeight="true" outlineLevel="0" collapsed="false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customFormat="false" ht="15.75" hidden="false" customHeight="true" outlineLevel="0" collapsed="false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customFormat="false" ht="15.75" hidden="false" customHeight="true" outlineLevel="0" collapsed="false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customFormat="false" ht="15.75" hidden="false" customHeight="true" outlineLevel="0" collapsed="false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customFormat="false" ht="15.75" hidden="false" customHeight="true" outlineLevel="0" collapsed="false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customFormat="false" ht="15.75" hidden="false" customHeight="true" outlineLevel="0" collapsed="false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customFormat="false" ht="15.75" hidden="false" customHeight="true" outlineLevel="0" collapsed="false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customFormat="false" ht="15.75" hidden="false" customHeight="true" outlineLevel="0" collapsed="false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customFormat="false" ht="15.75" hidden="false" customHeight="true" outlineLevel="0" collapsed="false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customFormat="false" ht="15.75" hidden="false" customHeight="true" outlineLevel="0" collapsed="false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customFormat="false" ht="15.75" hidden="false" customHeight="true" outlineLevel="0" collapsed="false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customFormat="false" ht="15.75" hidden="false" customHeight="true" outlineLevel="0" collapsed="false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customFormat="false" ht="15.75" hidden="false" customHeight="true" outlineLevel="0" collapsed="false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customFormat="false" ht="15.75" hidden="false" customHeight="true" outlineLevel="0" collapsed="false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customFormat="false" ht="15.75" hidden="false" customHeight="true" outlineLevel="0" collapsed="false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customFormat="false" ht="15.75" hidden="false" customHeight="true" outlineLevel="0" collapsed="false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customFormat="false" ht="15.75" hidden="false" customHeight="true" outlineLevel="0" collapsed="false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customFormat="false" ht="15.75" hidden="false" customHeight="true" outlineLevel="0" collapsed="false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customFormat="false" ht="15.75" hidden="false" customHeight="true" outlineLevel="0" collapsed="false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customFormat="false" ht="15.75" hidden="false" customHeight="true" outlineLevel="0" collapsed="false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customFormat="false" ht="15.75" hidden="false" customHeight="true" outlineLevel="0" collapsed="false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customFormat="false" ht="15.75" hidden="false" customHeight="true" outlineLevel="0" collapsed="false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customFormat="false" ht="15.75" hidden="false" customHeight="true" outlineLevel="0" collapsed="false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customFormat="false" ht="15.75" hidden="false" customHeight="true" outlineLevel="0" collapsed="false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customFormat="false" ht="15.75" hidden="false" customHeight="true" outlineLevel="0" collapsed="false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customFormat="false" ht="15.75" hidden="false" customHeight="true" outlineLevel="0" collapsed="false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customFormat="false" ht="15.75" hidden="false" customHeight="true" outlineLevel="0" collapsed="false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customFormat="false" ht="15.75" hidden="false" customHeight="true" outlineLevel="0" collapsed="false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customFormat="false" ht="15.75" hidden="false" customHeight="true" outlineLevel="0" collapsed="false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customFormat="false" ht="15.75" hidden="false" customHeight="true" outlineLevel="0" collapsed="false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customFormat="false" ht="15.75" hidden="false" customHeight="true" outlineLevel="0" collapsed="false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customFormat="false" ht="15.75" hidden="false" customHeight="true" outlineLevel="0" collapsed="false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customFormat="false" ht="15.75" hidden="false" customHeight="true" outlineLevel="0" collapsed="false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customFormat="false" ht="15.75" hidden="false" customHeight="true" outlineLevel="0" collapsed="false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customFormat="false" ht="15.75" hidden="false" customHeight="true" outlineLevel="0" collapsed="false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customFormat="false" ht="15.75" hidden="false" customHeight="true" outlineLevel="0" collapsed="false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customFormat="false" ht="15.75" hidden="false" customHeight="true" outlineLevel="0" collapsed="false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customFormat="false" ht="15.75" hidden="false" customHeight="true" outlineLevel="0" collapsed="false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customFormat="false" ht="15.75" hidden="false" customHeight="true" outlineLevel="0" collapsed="false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customFormat="false" ht="15.75" hidden="false" customHeight="true" outlineLevel="0" collapsed="false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customFormat="false" ht="15.75" hidden="false" customHeight="true" outlineLevel="0" collapsed="false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customFormat="false" ht="15.75" hidden="false" customHeight="true" outlineLevel="0" collapsed="false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customFormat="false" ht="15.75" hidden="false" customHeight="true" outlineLevel="0" collapsed="false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customFormat="false" ht="15.75" hidden="false" customHeight="true" outlineLevel="0" collapsed="false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customFormat="false" ht="15.75" hidden="false" customHeight="true" outlineLevel="0" collapsed="false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customFormat="false" ht="15.75" hidden="false" customHeight="true" outlineLevel="0" collapsed="false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customFormat="false" ht="15.75" hidden="false" customHeight="true" outlineLevel="0" collapsed="false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customFormat="false" ht="15.75" hidden="false" customHeight="true" outlineLevel="0" collapsed="false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customFormat="false" ht="15.75" hidden="false" customHeight="true" outlineLevel="0" collapsed="false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customFormat="false" ht="15.75" hidden="false" customHeight="true" outlineLevel="0" collapsed="false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customFormat="false" ht="15.75" hidden="false" customHeight="true" outlineLevel="0" collapsed="false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customFormat="false" ht="15.75" hidden="false" customHeight="true" outlineLevel="0" collapsed="false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customFormat="false" ht="15.75" hidden="false" customHeight="true" outlineLevel="0" collapsed="false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customFormat="false" ht="15.75" hidden="false" customHeight="true" outlineLevel="0" collapsed="false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customFormat="false" ht="15.75" hidden="false" customHeight="true" outlineLevel="0" collapsed="false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customFormat="false" ht="15.75" hidden="false" customHeight="true" outlineLevel="0" collapsed="false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customFormat="false" ht="15.75" hidden="false" customHeight="true" outlineLevel="0" collapsed="false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customFormat="false" ht="15.75" hidden="false" customHeight="true" outlineLevel="0" collapsed="false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customFormat="false" ht="15.75" hidden="false" customHeight="true" outlineLevel="0" collapsed="false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customFormat="false" ht="15.75" hidden="false" customHeight="true" outlineLevel="0" collapsed="false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customFormat="false" ht="15.75" hidden="false" customHeight="true" outlineLevel="0" collapsed="false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customFormat="false" ht="15.75" hidden="false" customHeight="true" outlineLevel="0" collapsed="false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customFormat="false" ht="15.75" hidden="false" customHeight="true" outlineLevel="0" collapsed="false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customFormat="false" ht="15.75" hidden="false" customHeight="true" outlineLevel="0" collapsed="false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customFormat="false" ht="15.75" hidden="false" customHeight="true" outlineLevel="0" collapsed="false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customFormat="false" ht="15.75" hidden="false" customHeight="true" outlineLevel="0" collapsed="false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customFormat="false" ht="15.75" hidden="false" customHeight="true" outlineLevel="0" collapsed="false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customFormat="false" ht="15.75" hidden="false" customHeight="true" outlineLevel="0" collapsed="false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customFormat="false" ht="15.75" hidden="false" customHeight="true" outlineLevel="0" collapsed="false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customFormat="false" ht="15.75" hidden="false" customHeight="true" outlineLevel="0" collapsed="false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customFormat="false" ht="15.75" hidden="false" customHeight="true" outlineLevel="0" collapsed="false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customFormat="false" ht="15.75" hidden="false" customHeight="true" outlineLevel="0" collapsed="false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customFormat="false" ht="15.75" hidden="false" customHeight="true" outlineLevel="0" collapsed="false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customFormat="false" ht="15.75" hidden="false" customHeight="true" outlineLevel="0" collapsed="false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customFormat="false" ht="15.75" hidden="false" customHeight="true" outlineLevel="0" collapsed="false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customFormat="false" ht="15.75" hidden="false" customHeight="true" outlineLevel="0" collapsed="false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customFormat="false" ht="15.75" hidden="false" customHeight="true" outlineLevel="0" collapsed="false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customFormat="false" ht="15.75" hidden="false" customHeight="true" outlineLevel="0" collapsed="false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customFormat="false" ht="15.75" hidden="false" customHeight="true" outlineLevel="0" collapsed="false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customFormat="false" ht="15.75" hidden="false" customHeight="true" outlineLevel="0" collapsed="false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customFormat="false" ht="15.75" hidden="false" customHeight="true" outlineLevel="0" collapsed="false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customFormat="false" ht="15.75" hidden="false" customHeight="true" outlineLevel="0" collapsed="false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customFormat="false" ht="15.75" hidden="false" customHeight="true" outlineLevel="0" collapsed="false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customFormat="false" ht="15.75" hidden="false" customHeight="true" outlineLevel="0" collapsed="false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customFormat="false" ht="15.75" hidden="false" customHeight="true" outlineLevel="0" collapsed="false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customFormat="false" ht="15.75" hidden="false" customHeight="true" outlineLevel="0" collapsed="false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customFormat="false" ht="15.75" hidden="false" customHeight="true" outlineLevel="0" collapsed="false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customFormat="false" ht="15.75" hidden="false" customHeight="true" outlineLevel="0" collapsed="false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customFormat="false" ht="15.75" hidden="false" customHeight="true" outlineLevel="0" collapsed="false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customFormat="false" ht="15.75" hidden="false" customHeight="true" outlineLevel="0" collapsed="false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customFormat="false" ht="15.75" hidden="false" customHeight="true" outlineLevel="0" collapsed="false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customFormat="false" ht="15.75" hidden="false" customHeight="true" outlineLevel="0" collapsed="false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customFormat="false" ht="15.75" hidden="false" customHeight="true" outlineLevel="0" collapsed="false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customFormat="false" ht="15.75" hidden="false" customHeight="true" outlineLevel="0" collapsed="false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customFormat="false" ht="15.75" hidden="false" customHeight="true" outlineLevel="0" collapsed="false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customFormat="false" ht="15.75" hidden="false" customHeight="true" outlineLevel="0" collapsed="false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customFormat="false" ht="15.75" hidden="false" customHeight="true" outlineLevel="0" collapsed="false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customFormat="false" ht="15.75" hidden="false" customHeight="true" outlineLevel="0" collapsed="false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customFormat="false" ht="15.75" hidden="false" customHeight="true" outlineLevel="0" collapsed="false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customFormat="false" ht="15.75" hidden="false" customHeight="true" outlineLevel="0" collapsed="false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customFormat="false" ht="15.75" hidden="false" customHeight="true" outlineLevel="0" collapsed="false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customFormat="false" ht="15.75" hidden="false" customHeight="true" outlineLevel="0" collapsed="false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customFormat="false" ht="15.75" hidden="false" customHeight="true" outlineLevel="0" collapsed="false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customFormat="false" ht="15.75" hidden="false" customHeight="true" outlineLevel="0" collapsed="false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customFormat="false" ht="15.75" hidden="false" customHeight="true" outlineLevel="0" collapsed="false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customFormat="false" ht="15.75" hidden="false" customHeight="true" outlineLevel="0" collapsed="false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customFormat="false" ht="15.75" hidden="false" customHeight="true" outlineLevel="0" collapsed="false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customFormat="false" ht="15.75" hidden="false" customHeight="true" outlineLevel="0" collapsed="false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customFormat="false" ht="15.75" hidden="false" customHeight="true" outlineLevel="0" collapsed="false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customFormat="false" ht="15.75" hidden="false" customHeight="true" outlineLevel="0" collapsed="false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customFormat="false" ht="15.75" hidden="false" customHeight="true" outlineLevel="0" collapsed="false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customFormat="false" ht="15.75" hidden="false" customHeight="true" outlineLevel="0" collapsed="false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customFormat="false" ht="15.75" hidden="false" customHeight="true" outlineLevel="0" collapsed="false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customFormat="false" ht="15.75" hidden="false" customHeight="true" outlineLevel="0" collapsed="false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customFormat="false" ht="15.75" hidden="false" customHeight="true" outlineLevel="0" collapsed="false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customFormat="false" ht="15.75" hidden="false" customHeight="true" outlineLevel="0" collapsed="false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customFormat="false" ht="15.75" hidden="false" customHeight="true" outlineLevel="0" collapsed="false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customFormat="false" ht="15.75" hidden="false" customHeight="true" outlineLevel="0" collapsed="false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customFormat="false" ht="15.75" hidden="false" customHeight="true" outlineLevel="0" collapsed="false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customFormat="false" ht="15.75" hidden="false" customHeight="true" outlineLevel="0" collapsed="false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customFormat="false" ht="15.75" hidden="false" customHeight="true" outlineLevel="0" collapsed="false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customFormat="false" ht="15.75" hidden="false" customHeight="true" outlineLevel="0" collapsed="false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customFormat="false" ht="15.75" hidden="false" customHeight="true" outlineLevel="0" collapsed="false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customFormat="false" ht="15.75" hidden="false" customHeight="true" outlineLevel="0" collapsed="false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customFormat="false" ht="15.75" hidden="false" customHeight="true" outlineLevel="0" collapsed="false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customFormat="false" ht="15.75" hidden="false" customHeight="true" outlineLevel="0" collapsed="false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customFormat="false" ht="15.75" hidden="false" customHeight="true" outlineLevel="0" collapsed="false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customFormat="false" ht="15.75" hidden="false" customHeight="true" outlineLevel="0" collapsed="false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customFormat="false" ht="15.75" hidden="false" customHeight="true" outlineLevel="0" collapsed="false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customFormat="false" ht="15.75" hidden="false" customHeight="true" outlineLevel="0" collapsed="false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customFormat="false" ht="15.75" hidden="false" customHeight="true" outlineLevel="0" collapsed="false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customFormat="false" ht="15.75" hidden="false" customHeight="true" outlineLevel="0" collapsed="false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customFormat="false" ht="15.75" hidden="false" customHeight="true" outlineLevel="0" collapsed="false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customFormat="false" ht="15.75" hidden="false" customHeight="true" outlineLevel="0" collapsed="false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customFormat="false" ht="15.75" hidden="false" customHeight="true" outlineLevel="0" collapsed="false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customFormat="false" ht="15.75" hidden="false" customHeight="true" outlineLevel="0" collapsed="false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customFormat="false" ht="15.75" hidden="false" customHeight="true" outlineLevel="0" collapsed="false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customFormat="false" ht="15.75" hidden="false" customHeight="true" outlineLevel="0" collapsed="false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customFormat="false" ht="15.75" hidden="false" customHeight="true" outlineLevel="0" collapsed="false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customFormat="false" ht="15.75" hidden="false" customHeight="true" outlineLevel="0" collapsed="false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customFormat="false" ht="15.75" hidden="false" customHeight="true" outlineLevel="0" collapsed="false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customFormat="false" ht="15.75" hidden="false" customHeight="true" outlineLevel="0" collapsed="false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customFormat="false" ht="15.75" hidden="false" customHeight="true" outlineLevel="0" collapsed="false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customFormat="false" ht="15.75" hidden="false" customHeight="true" outlineLevel="0" collapsed="false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customFormat="false" ht="15.75" hidden="false" customHeight="true" outlineLevel="0" collapsed="false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customFormat="false" ht="15.75" hidden="false" customHeight="true" outlineLevel="0" collapsed="false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customFormat="false" ht="15.75" hidden="false" customHeight="true" outlineLevel="0" collapsed="false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customFormat="false" ht="15.75" hidden="false" customHeight="true" outlineLevel="0" collapsed="false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customFormat="false" ht="15.75" hidden="false" customHeight="true" outlineLevel="0" collapsed="false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customFormat="false" ht="15.75" hidden="false" customHeight="true" outlineLevel="0" collapsed="false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customFormat="false" ht="15.75" hidden="false" customHeight="true" outlineLevel="0" collapsed="false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customFormat="false" ht="15.75" hidden="false" customHeight="true" outlineLevel="0" collapsed="false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customFormat="false" ht="15.75" hidden="false" customHeight="true" outlineLevel="0" collapsed="false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customFormat="false" ht="15.75" hidden="false" customHeight="true" outlineLevel="0" collapsed="false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customFormat="false" ht="15.75" hidden="false" customHeight="true" outlineLevel="0" collapsed="false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customFormat="false" ht="15.75" hidden="false" customHeight="true" outlineLevel="0" collapsed="false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customFormat="false" ht="15.75" hidden="false" customHeight="true" outlineLevel="0" collapsed="false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customFormat="false" ht="15.75" hidden="false" customHeight="true" outlineLevel="0" collapsed="false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customFormat="false" ht="15.75" hidden="false" customHeight="true" outlineLevel="0" collapsed="false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customFormat="false" ht="15.75" hidden="false" customHeight="true" outlineLevel="0" collapsed="false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customFormat="false" ht="15.75" hidden="false" customHeight="true" outlineLevel="0" collapsed="false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customFormat="false" ht="15.75" hidden="false" customHeight="true" outlineLevel="0" collapsed="false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customFormat="false" ht="15.75" hidden="false" customHeight="true" outlineLevel="0" collapsed="false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customFormat="false" ht="15.75" hidden="false" customHeight="true" outlineLevel="0" collapsed="false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customFormat="false" ht="15.75" hidden="false" customHeight="true" outlineLevel="0" collapsed="false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customFormat="false" ht="15.75" hidden="false" customHeight="true" outlineLevel="0" collapsed="false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customFormat="false" ht="15.75" hidden="false" customHeight="true" outlineLevel="0" collapsed="false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customFormat="false" ht="15.75" hidden="false" customHeight="true" outlineLevel="0" collapsed="false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customFormat="false" ht="15.75" hidden="false" customHeight="true" outlineLevel="0" collapsed="false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customFormat="false" ht="15.75" hidden="false" customHeight="true" outlineLevel="0" collapsed="false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customFormat="false" ht="15.75" hidden="false" customHeight="true" outlineLevel="0" collapsed="false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customFormat="false" ht="15.75" hidden="false" customHeight="true" outlineLevel="0" collapsed="false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customFormat="false" ht="15.75" hidden="false" customHeight="true" outlineLevel="0" collapsed="false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customFormat="false" ht="15.75" hidden="false" customHeight="true" outlineLevel="0" collapsed="false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customFormat="false" ht="15.75" hidden="false" customHeight="true" outlineLevel="0" collapsed="false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customFormat="false" ht="15.75" hidden="false" customHeight="true" outlineLevel="0" collapsed="false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customFormat="false" ht="15.75" hidden="false" customHeight="true" outlineLevel="0" collapsed="false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customFormat="false" ht="15.75" hidden="false" customHeight="true" outlineLevel="0" collapsed="false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customFormat="false" ht="15.75" hidden="false" customHeight="true" outlineLevel="0" collapsed="false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customFormat="false" ht="15.75" hidden="false" customHeight="true" outlineLevel="0" collapsed="false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customFormat="false" ht="15.75" hidden="false" customHeight="true" outlineLevel="0" collapsed="false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customFormat="false" ht="15.75" hidden="false" customHeight="true" outlineLevel="0" collapsed="false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customFormat="false" ht="15.75" hidden="false" customHeight="true" outlineLevel="0" collapsed="false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customFormat="false" ht="15.75" hidden="false" customHeight="true" outlineLevel="0" collapsed="false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customFormat="false" ht="15.75" hidden="false" customHeight="true" outlineLevel="0" collapsed="false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customFormat="false" ht="15.75" hidden="false" customHeight="true" outlineLevel="0" collapsed="false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customFormat="false" ht="15.75" hidden="false" customHeight="true" outlineLevel="0" collapsed="false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customFormat="false" ht="15.75" hidden="false" customHeight="true" outlineLevel="0" collapsed="false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customFormat="false" ht="15.75" hidden="false" customHeight="true" outlineLevel="0" collapsed="false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customFormat="false" ht="15.75" hidden="false" customHeight="true" outlineLevel="0" collapsed="false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customFormat="false" ht="15.75" hidden="false" customHeight="true" outlineLevel="0" collapsed="false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customFormat="false" ht="15.75" hidden="false" customHeight="true" outlineLevel="0" collapsed="false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customFormat="false" ht="15.75" hidden="false" customHeight="true" outlineLevel="0" collapsed="false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customFormat="false" ht="15.75" hidden="false" customHeight="true" outlineLevel="0" collapsed="false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customFormat="false" ht="15.75" hidden="false" customHeight="true" outlineLevel="0" collapsed="false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customFormat="false" ht="15.75" hidden="false" customHeight="true" outlineLevel="0" collapsed="false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customFormat="false" ht="15.75" hidden="false" customHeight="true" outlineLevel="0" collapsed="false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customFormat="false" ht="15.75" hidden="false" customHeight="true" outlineLevel="0" collapsed="false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customFormat="false" ht="15.75" hidden="false" customHeight="true" outlineLevel="0" collapsed="false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customFormat="false" ht="15.75" hidden="false" customHeight="true" outlineLevel="0" collapsed="false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customFormat="false" ht="15.75" hidden="false" customHeight="true" outlineLevel="0" collapsed="false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customFormat="false" ht="15.75" hidden="false" customHeight="true" outlineLevel="0" collapsed="false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customFormat="false" ht="15.75" hidden="false" customHeight="true" outlineLevel="0" collapsed="false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customFormat="false" ht="15.75" hidden="false" customHeight="true" outlineLevel="0" collapsed="false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customFormat="false" ht="15.75" hidden="false" customHeight="true" outlineLevel="0" collapsed="false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customFormat="false" ht="15.75" hidden="false" customHeight="true" outlineLevel="0" collapsed="false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customFormat="false" ht="15.75" hidden="false" customHeight="true" outlineLevel="0" collapsed="false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customFormat="false" ht="15.75" hidden="false" customHeight="true" outlineLevel="0" collapsed="false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customFormat="false" ht="15.75" hidden="false" customHeight="true" outlineLevel="0" collapsed="false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customFormat="false" ht="15.75" hidden="false" customHeight="true" outlineLevel="0" collapsed="false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customFormat="false" ht="15.75" hidden="false" customHeight="true" outlineLevel="0" collapsed="false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customFormat="false" ht="15.75" hidden="false" customHeight="true" outlineLevel="0" collapsed="false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customFormat="false" ht="15.75" hidden="false" customHeight="true" outlineLevel="0" collapsed="false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customFormat="false" ht="15.75" hidden="false" customHeight="true" outlineLevel="0" collapsed="false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customFormat="false" ht="15.75" hidden="false" customHeight="true" outlineLevel="0" collapsed="false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customFormat="false" ht="15.75" hidden="false" customHeight="true" outlineLevel="0" collapsed="false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customFormat="false" ht="15.75" hidden="false" customHeight="true" outlineLevel="0" collapsed="false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customFormat="false" ht="15.75" hidden="false" customHeight="true" outlineLevel="0" collapsed="false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customFormat="false" ht="15.75" hidden="false" customHeight="true" outlineLevel="0" collapsed="false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customFormat="false" ht="15.75" hidden="false" customHeight="true" outlineLevel="0" collapsed="false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customFormat="false" ht="15.75" hidden="false" customHeight="true" outlineLevel="0" collapsed="false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customFormat="false" ht="15.75" hidden="false" customHeight="true" outlineLevel="0" collapsed="false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customFormat="false" ht="15.75" hidden="false" customHeight="true" outlineLevel="0" collapsed="false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customFormat="false" ht="15.75" hidden="false" customHeight="true" outlineLevel="0" collapsed="false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customFormat="false" ht="15.75" hidden="false" customHeight="true" outlineLevel="0" collapsed="false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customFormat="false" ht="15.75" hidden="false" customHeight="true" outlineLevel="0" collapsed="false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customFormat="false" ht="15.75" hidden="false" customHeight="true" outlineLevel="0" collapsed="false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customFormat="false" ht="15.75" hidden="false" customHeight="true" outlineLevel="0" collapsed="false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customFormat="false" ht="15.75" hidden="false" customHeight="true" outlineLevel="0" collapsed="false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customFormat="false" ht="15.75" hidden="false" customHeight="true" outlineLevel="0" collapsed="false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customFormat="false" ht="15.75" hidden="false" customHeight="true" outlineLevel="0" collapsed="false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customFormat="false" ht="15.75" hidden="false" customHeight="true" outlineLevel="0" collapsed="false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customFormat="false" ht="15.75" hidden="false" customHeight="true" outlineLevel="0" collapsed="false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customFormat="false" ht="15.75" hidden="false" customHeight="true" outlineLevel="0" collapsed="false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customFormat="false" ht="15.75" hidden="false" customHeight="true" outlineLevel="0" collapsed="false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customFormat="false" ht="15.75" hidden="false" customHeight="true" outlineLevel="0" collapsed="false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customFormat="false" ht="15.75" hidden="false" customHeight="true" outlineLevel="0" collapsed="false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customFormat="false" ht="15.75" hidden="false" customHeight="true" outlineLevel="0" collapsed="false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customFormat="false" ht="15.75" hidden="false" customHeight="true" outlineLevel="0" collapsed="false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customFormat="false" ht="15.75" hidden="false" customHeight="true" outlineLevel="0" collapsed="false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customFormat="false" ht="15.75" hidden="false" customHeight="true" outlineLevel="0" collapsed="false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customFormat="false" ht="15.75" hidden="false" customHeight="true" outlineLevel="0" collapsed="false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customFormat="false" ht="15.75" hidden="false" customHeight="true" outlineLevel="0" collapsed="false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customFormat="false" ht="15.75" hidden="false" customHeight="true" outlineLevel="0" collapsed="false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customFormat="false" ht="15.75" hidden="false" customHeight="true" outlineLevel="0" collapsed="false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customFormat="false" ht="15.75" hidden="false" customHeight="true" outlineLevel="0" collapsed="false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customFormat="false" ht="15.75" hidden="false" customHeight="true" outlineLevel="0" collapsed="false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customFormat="false" ht="15.75" hidden="false" customHeight="true" outlineLevel="0" collapsed="false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customFormat="false" ht="15.75" hidden="false" customHeight="true" outlineLevel="0" collapsed="false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customFormat="false" ht="15.75" hidden="false" customHeight="true" outlineLevel="0" collapsed="false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customFormat="false" ht="15.75" hidden="false" customHeight="true" outlineLevel="0" collapsed="false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customFormat="false" ht="15.75" hidden="false" customHeight="true" outlineLevel="0" collapsed="false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customFormat="false" ht="15.75" hidden="false" customHeight="true" outlineLevel="0" collapsed="false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customFormat="false" ht="15.75" hidden="false" customHeight="true" outlineLevel="0" collapsed="false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customFormat="false" ht="15.75" hidden="false" customHeight="true" outlineLevel="0" collapsed="false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customFormat="false" ht="15.75" hidden="false" customHeight="true" outlineLevel="0" collapsed="false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customFormat="false" ht="15.75" hidden="false" customHeight="true" outlineLevel="0" collapsed="false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customFormat="false" ht="15.75" hidden="false" customHeight="true" outlineLevel="0" collapsed="false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customFormat="false" ht="15.75" hidden="false" customHeight="true" outlineLevel="0" collapsed="false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customFormat="false" ht="15.75" hidden="false" customHeight="true" outlineLevel="0" collapsed="false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customFormat="false" ht="15.75" hidden="false" customHeight="true" outlineLevel="0" collapsed="false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customFormat="false" ht="15.75" hidden="false" customHeight="true" outlineLevel="0" collapsed="false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customFormat="false" ht="15.75" hidden="false" customHeight="true" outlineLevel="0" collapsed="false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customFormat="false" ht="15.75" hidden="false" customHeight="true" outlineLevel="0" collapsed="false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customFormat="false" ht="15.75" hidden="false" customHeight="true" outlineLevel="0" collapsed="false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customFormat="false" ht="15.75" hidden="false" customHeight="true" outlineLevel="0" collapsed="false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customFormat="false" ht="15.75" hidden="false" customHeight="true" outlineLevel="0" collapsed="false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customFormat="false" ht="15.75" hidden="false" customHeight="true" outlineLevel="0" collapsed="false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customFormat="false" ht="15.75" hidden="false" customHeight="true" outlineLevel="0" collapsed="false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customFormat="false" ht="15.75" hidden="false" customHeight="true" outlineLevel="0" collapsed="false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customFormat="false" ht="15.75" hidden="false" customHeight="true" outlineLevel="0" collapsed="false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customFormat="false" ht="15.75" hidden="false" customHeight="true" outlineLevel="0" collapsed="false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customFormat="false" ht="15.75" hidden="false" customHeight="true" outlineLevel="0" collapsed="false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customFormat="false" ht="15.75" hidden="false" customHeight="true" outlineLevel="0" collapsed="false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customFormat="false" ht="15.75" hidden="false" customHeight="true" outlineLevel="0" collapsed="false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customFormat="false" ht="15.75" hidden="false" customHeight="true" outlineLevel="0" collapsed="false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customFormat="false" ht="15.75" hidden="false" customHeight="true" outlineLevel="0" collapsed="false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customFormat="false" ht="15.75" hidden="false" customHeight="true" outlineLevel="0" collapsed="false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customFormat="false" ht="15.75" hidden="false" customHeight="true" outlineLevel="0" collapsed="false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customFormat="false" ht="15.75" hidden="false" customHeight="true" outlineLevel="0" collapsed="false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customFormat="false" ht="15.75" hidden="false" customHeight="true" outlineLevel="0" collapsed="false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customFormat="false" ht="15.75" hidden="false" customHeight="true" outlineLevel="0" collapsed="false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customFormat="false" ht="15.75" hidden="false" customHeight="true" outlineLevel="0" collapsed="false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customFormat="false" ht="15.75" hidden="false" customHeight="true" outlineLevel="0" collapsed="false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customFormat="false" ht="15.75" hidden="false" customHeight="true" outlineLevel="0" collapsed="false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customFormat="false" ht="15.75" hidden="false" customHeight="true" outlineLevel="0" collapsed="false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customFormat="false" ht="15.75" hidden="false" customHeight="true" outlineLevel="0" collapsed="false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customFormat="false" ht="15.75" hidden="false" customHeight="true" outlineLevel="0" collapsed="false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customFormat="false" ht="15.75" hidden="false" customHeight="true" outlineLevel="0" collapsed="false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customFormat="false" ht="15.75" hidden="false" customHeight="true" outlineLevel="0" collapsed="false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customFormat="false" ht="15.75" hidden="false" customHeight="true" outlineLevel="0" collapsed="false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customFormat="false" ht="15.75" hidden="false" customHeight="true" outlineLevel="0" collapsed="false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customFormat="false" ht="15.75" hidden="false" customHeight="true" outlineLevel="0" collapsed="false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customFormat="false" ht="15.75" hidden="false" customHeight="true" outlineLevel="0" collapsed="false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customFormat="false" ht="15.75" hidden="false" customHeight="true" outlineLevel="0" collapsed="false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customFormat="false" ht="15.75" hidden="false" customHeight="true" outlineLevel="0" collapsed="false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customFormat="false" ht="15.75" hidden="false" customHeight="true" outlineLevel="0" collapsed="false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customFormat="false" ht="15.75" hidden="false" customHeight="true" outlineLevel="0" collapsed="false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customFormat="false" ht="15.75" hidden="false" customHeight="true" outlineLevel="0" collapsed="false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customFormat="false" ht="15.75" hidden="false" customHeight="true" outlineLevel="0" collapsed="false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customFormat="false" ht="15.75" hidden="false" customHeight="true" outlineLevel="0" collapsed="false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customFormat="false" ht="15.75" hidden="false" customHeight="true" outlineLevel="0" collapsed="false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customFormat="false" ht="15.75" hidden="false" customHeight="true" outlineLevel="0" collapsed="false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customFormat="false" ht="15.75" hidden="false" customHeight="true" outlineLevel="0" collapsed="false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customFormat="false" ht="15.75" hidden="false" customHeight="true" outlineLevel="0" collapsed="false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customFormat="false" ht="15.75" hidden="false" customHeight="true" outlineLevel="0" collapsed="false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customFormat="false" ht="15.75" hidden="false" customHeight="true" outlineLevel="0" collapsed="false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customFormat="false" ht="15.75" hidden="false" customHeight="true" outlineLevel="0" collapsed="false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customFormat="false" ht="15.75" hidden="false" customHeight="true" outlineLevel="0" collapsed="false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customFormat="false" ht="15.75" hidden="false" customHeight="true" outlineLevel="0" collapsed="false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customFormat="false" ht="15.75" hidden="false" customHeight="true" outlineLevel="0" collapsed="false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customFormat="false" ht="15.75" hidden="false" customHeight="true" outlineLevel="0" collapsed="false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customFormat="false" ht="15.75" hidden="false" customHeight="true" outlineLevel="0" collapsed="false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customFormat="false" ht="15.75" hidden="false" customHeight="true" outlineLevel="0" collapsed="false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customFormat="false" ht="15.75" hidden="false" customHeight="true" outlineLevel="0" collapsed="false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customFormat="false" ht="15.75" hidden="false" customHeight="true" outlineLevel="0" collapsed="false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customFormat="false" ht="15.75" hidden="false" customHeight="true" outlineLevel="0" collapsed="false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customFormat="false" ht="15.75" hidden="false" customHeight="true" outlineLevel="0" collapsed="false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customFormat="false" ht="15.75" hidden="false" customHeight="true" outlineLevel="0" collapsed="false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customFormat="false" ht="15.75" hidden="false" customHeight="true" outlineLevel="0" collapsed="false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customFormat="false" ht="15.75" hidden="false" customHeight="true" outlineLevel="0" collapsed="false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customFormat="false" ht="15.75" hidden="false" customHeight="true" outlineLevel="0" collapsed="false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customFormat="false" ht="15.75" hidden="false" customHeight="true" outlineLevel="0" collapsed="false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customFormat="false" ht="15.75" hidden="false" customHeight="true" outlineLevel="0" collapsed="false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customFormat="false" ht="15.75" hidden="false" customHeight="true" outlineLevel="0" collapsed="false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customFormat="false" ht="15.75" hidden="false" customHeight="true" outlineLevel="0" collapsed="false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customFormat="false" ht="15.75" hidden="false" customHeight="true" outlineLevel="0" collapsed="false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customFormat="false" ht="15.75" hidden="false" customHeight="true" outlineLevel="0" collapsed="false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customFormat="false" ht="15.75" hidden="false" customHeight="true" outlineLevel="0" collapsed="false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customFormat="false" ht="15.75" hidden="false" customHeight="true" outlineLevel="0" collapsed="false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customFormat="false" ht="15.75" hidden="false" customHeight="true" outlineLevel="0" collapsed="false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customFormat="false" ht="15.75" hidden="false" customHeight="true" outlineLevel="0" collapsed="false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customFormat="false" ht="15.75" hidden="false" customHeight="true" outlineLevel="0" collapsed="false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customFormat="false" ht="15.75" hidden="false" customHeight="true" outlineLevel="0" collapsed="false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customFormat="false" ht="15.75" hidden="false" customHeight="true" outlineLevel="0" collapsed="false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customFormat="false" ht="15.75" hidden="false" customHeight="true" outlineLevel="0" collapsed="false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customFormat="false" ht="15.75" hidden="false" customHeight="true" outlineLevel="0" collapsed="false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customFormat="false" ht="15.75" hidden="false" customHeight="true" outlineLevel="0" collapsed="false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customFormat="false" ht="15.75" hidden="false" customHeight="true" outlineLevel="0" collapsed="false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customFormat="false" ht="15.75" hidden="false" customHeight="true" outlineLevel="0" collapsed="false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customFormat="false" ht="15.75" hidden="false" customHeight="true" outlineLevel="0" collapsed="false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customFormat="false" ht="15.75" hidden="false" customHeight="true" outlineLevel="0" collapsed="false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customFormat="false" ht="15.75" hidden="false" customHeight="true" outlineLevel="0" collapsed="false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customFormat="false" ht="15.75" hidden="false" customHeight="true" outlineLevel="0" collapsed="false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customFormat="false" ht="15.75" hidden="false" customHeight="true" outlineLevel="0" collapsed="false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customFormat="false" ht="15.75" hidden="false" customHeight="true" outlineLevel="0" collapsed="false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customFormat="false" ht="15.75" hidden="false" customHeight="true" outlineLevel="0" collapsed="false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customFormat="false" ht="15.75" hidden="false" customHeight="true" outlineLevel="0" collapsed="false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customFormat="false" ht="15.75" hidden="false" customHeight="true" outlineLevel="0" collapsed="false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customFormat="false" ht="15.75" hidden="false" customHeight="true" outlineLevel="0" collapsed="false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customFormat="false" ht="15.75" hidden="false" customHeight="true" outlineLevel="0" collapsed="false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customFormat="false" ht="15.75" hidden="false" customHeight="true" outlineLevel="0" collapsed="false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customFormat="false" ht="15.75" hidden="false" customHeight="true" outlineLevel="0" collapsed="false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customFormat="false" ht="15.75" hidden="false" customHeight="true" outlineLevel="0" collapsed="false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customFormat="false" ht="15.75" hidden="false" customHeight="true" outlineLevel="0" collapsed="false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customFormat="false" ht="15.75" hidden="false" customHeight="true" outlineLevel="0" collapsed="false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customFormat="false" ht="15.75" hidden="false" customHeight="true" outlineLevel="0" collapsed="false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customFormat="false" ht="15.75" hidden="false" customHeight="true" outlineLevel="0" collapsed="false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customFormat="false" ht="15.75" hidden="false" customHeight="true" outlineLevel="0" collapsed="false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customFormat="false" ht="15.75" hidden="false" customHeight="true" outlineLevel="0" collapsed="false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customFormat="false" ht="15.75" hidden="false" customHeight="true" outlineLevel="0" collapsed="false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customFormat="false" ht="15.75" hidden="false" customHeight="true" outlineLevel="0" collapsed="false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customFormat="false" ht="15.75" hidden="false" customHeight="true" outlineLevel="0" collapsed="false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customFormat="false" ht="15.75" hidden="false" customHeight="true" outlineLevel="0" collapsed="false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customFormat="false" ht="15.75" hidden="false" customHeight="true" outlineLevel="0" collapsed="false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customFormat="false" ht="15.75" hidden="false" customHeight="true" outlineLevel="0" collapsed="false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customFormat="false" ht="15.75" hidden="false" customHeight="true" outlineLevel="0" collapsed="false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customFormat="false" ht="15.75" hidden="false" customHeight="true" outlineLevel="0" collapsed="false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customFormat="false" ht="15.75" hidden="false" customHeight="true" outlineLevel="0" collapsed="false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customFormat="false" ht="15.75" hidden="false" customHeight="true" outlineLevel="0" collapsed="false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customFormat="false" ht="15.75" hidden="false" customHeight="true" outlineLevel="0" collapsed="false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customFormat="false" ht="15.75" hidden="false" customHeight="true" outlineLevel="0" collapsed="false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customFormat="false" ht="15.75" hidden="false" customHeight="true" outlineLevel="0" collapsed="false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customFormat="false" ht="15.75" hidden="false" customHeight="true" outlineLevel="0" collapsed="false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customFormat="false" ht="15.75" hidden="false" customHeight="true" outlineLevel="0" collapsed="false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customFormat="false" ht="15.75" hidden="false" customHeight="true" outlineLevel="0" collapsed="false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customFormat="false" ht="15.75" hidden="false" customHeight="true" outlineLevel="0" collapsed="false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customFormat="false" ht="15.75" hidden="false" customHeight="true" outlineLevel="0" collapsed="false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customFormat="false" ht="15.75" hidden="false" customHeight="true" outlineLevel="0" collapsed="false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customFormat="false" ht="15.75" hidden="false" customHeight="true" outlineLevel="0" collapsed="false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customFormat="false" ht="15.75" hidden="false" customHeight="true" outlineLevel="0" collapsed="false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customFormat="false" ht="15.75" hidden="false" customHeight="true" outlineLevel="0" collapsed="false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customFormat="false" ht="15.75" hidden="false" customHeight="true" outlineLevel="0" collapsed="false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customFormat="false" ht="15.75" hidden="false" customHeight="true" outlineLevel="0" collapsed="false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customFormat="false" ht="15.75" hidden="false" customHeight="true" outlineLevel="0" collapsed="false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customFormat="false" ht="15.75" hidden="false" customHeight="true" outlineLevel="0" collapsed="false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customFormat="false" ht="15.75" hidden="false" customHeight="true" outlineLevel="0" collapsed="false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customFormat="false" ht="15.75" hidden="false" customHeight="true" outlineLevel="0" collapsed="false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customFormat="false" ht="15.75" hidden="false" customHeight="true" outlineLevel="0" collapsed="false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customFormat="false" ht="15.75" hidden="false" customHeight="true" outlineLevel="0" collapsed="false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customFormat="false" ht="15.75" hidden="false" customHeight="true" outlineLevel="0" collapsed="false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customFormat="false" ht="15.75" hidden="false" customHeight="true" outlineLevel="0" collapsed="false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customFormat="false" ht="15.75" hidden="false" customHeight="true" outlineLevel="0" collapsed="false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customFormat="false" ht="15.75" hidden="false" customHeight="true" outlineLevel="0" collapsed="false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customFormat="false" ht="15.75" hidden="false" customHeight="true" outlineLevel="0" collapsed="false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customFormat="false" ht="15.75" hidden="false" customHeight="true" outlineLevel="0" collapsed="false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customFormat="false" ht="15.75" hidden="false" customHeight="true" outlineLevel="0" collapsed="false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customFormat="false" ht="15.75" hidden="false" customHeight="true" outlineLevel="0" collapsed="false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customFormat="false" ht="15.75" hidden="false" customHeight="true" outlineLevel="0" collapsed="false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customFormat="false" ht="15.75" hidden="false" customHeight="true" outlineLevel="0" collapsed="false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customFormat="false" ht="15.75" hidden="false" customHeight="true" outlineLevel="0" collapsed="false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customFormat="false" ht="15.75" hidden="false" customHeight="true" outlineLevel="0" collapsed="false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customFormat="false" ht="15.75" hidden="false" customHeight="true" outlineLevel="0" collapsed="false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customFormat="false" ht="15.75" hidden="false" customHeight="true" outlineLevel="0" collapsed="false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customFormat="false" ht="15.75" hidden="false" customHeight="true" outlineLevel="0" collapsed="false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customFormat="false" ht="15.75" hidden="false" customHeight="true" outlineLevel="0" collapsed="false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customFormat="false" ht="15.75" hidden="false" customHeight="true" outlineLevel="0" collapsed="false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customFormat="false" ht="15.75" hidden="false" customHeight="true" outlineLevel="0" collapsed="false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customFormat="false" ht="15.75" hidden="false" customHeight="true" outlineLevel="0" collapsed="false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customFormat="false" ht="15.75" hidden="false" customHeight="true" outlineLevel="0" collapsed="false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customFormat="false" ht="15.75" hidden="false" customHeight="true" outlineLevel="0" collapsed="false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customFormat="false" ht="15.75" hidden="false" customHeight="true" outlineLevel="0" collapsed="false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customFormat="false" ht="15.75" hidden="false" customHeight="true" outlineLevel="0" collapsed="false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customFormat="false" ht="15.75" hidden="false" customHeight="true" outlineLevel="0" collapsed="false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customFormat="false" ht="15.75" hidden="false" customHeight="true" outlineLevel="0" collapsed="false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customFormat="false" ht="15.75" hidden="false" customHeight="true" outlineLevel="0" collapsed="false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customFormat="false" ht="15.75" hidden="false" customHeight="true" outlineLevel="0" collapsed="false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customFormat="false" ht="15.75" hidden="false" customHeight="true" outlineLevel="0" collapsed="false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customFormat="false" ht="15.75" hidden="false" customHeight="true" outlineLevel="0" collapsed="false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customFormat="false" ht="15.75" hidden="false" customHeight="true" outlineLevel="0" collapsed="false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customFormat="false" ht="15.75" hidden="false" customHeight="true" outlineLevel="0" collapsed="false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customFormat="false" ht="15.75" hidden="false" customHeight="true" outlineLevel="0" collapsed="false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customFormat="false" ht="15.75" hidden="false" customHeight="true" outlineLevel="0" collapsed="false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customFormat="false" ht="15.75" hidden="false" customHeight="true" outlineLevel="0" collapsed="false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customFormat="false" ht="15.75" hidden="false" customHeight="true" outlineLevel="0" collapsed="false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customFormat="false" ht="15.75" hidden="false" customHeight="true" outlineLevel="0" collapsed="false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customFormat="false" ht="15.75" hidden="false" customHeight="true" outlineLevel="0" collapsed="false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customFormat="false" ht="15.75" hidden="false" customHeight="true" outlineLevel="0" collapsed="false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customFormat="false" ht="15.75" hidden="false" customHeight="true" outlineLevel="0" collapsed="false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customFormat="false" ht="15.75" hidden="false" customHeight="true" outlineLevel="0" collapsed="false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customFormat="false" ht="15.75" hidden="false" customHeight="true" outlineLevel="0" collapsed="false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customFormat="false" ht="15.75" hidden="false" customHeight="true" outlineLevel="0" collapsed="false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customFormat="false" ht="15.75" hidden="false" customHeight="true" outlineLevel="0" collapsed="false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customFormat="false" ht="15.75" hidden="false" customHeight="true" outlineLevel="0" collapsed="false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customFormat="false" ht="15.75" hidden="false" customHeight="true" outlineLevel="0" collapsed="false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customFormat="false" ht="15.75" hidden="false" customHeight="true" outlineLevel="0" collapsed="false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customFormat="false" ht="15.75" hidden="false" customHeight="true" outlineLevel="0" collapsed="false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customFormat="false" ht="15.75" hidden="false" customHeight="true" outlineLevel="0" collapsed="false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customFormat="false" ht="15.75" hidden="false" customHeight="true" outlineLevel="0" collapsed="false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customFormat="false" ht="15.75" hidden="false" customHeight="true" outlineLevel="0" collapsed="false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customFormat="false" ht="15.75" hidden="false" customHeight="true" outlineLevel="0" collapsed="false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customFormat="false" ht="15.75" hidden="false" customHeight="true" outlineLevel="0" collapsed="false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customFormat="false" ht="15.75" hidden="false" customHeight="true" outlineLevel="0" collapsed="false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customFormat="false" ht="15.75" hidden="false" customHeight="true" outlineLevel="0" collapsed="false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customFormat="false" ht="15.75" hidden="false" customHeight="true" outlineLevel="0" collapsed="false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customFormat="false" ht="15.75" hidden="false" customHeight="true" outlineLevel="0" collapsed="false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customFormat="false" ht="15.75" hidden="false" customHeight="true" outlineLevel="0" collapsed="false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customFormat="false" ht="15.75" hidden="false" customHeight="true" outlineLevel="0" collapsed="false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customFormat="false" ht="15.75" hidden="false" customHeight="true" outlineLevel="0" collapsed="false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customFormat="false" ht="15.75" hidden="false" customHeight="true" outlineLevel="0" collapsed="false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customFormat="false" ht="15.75" hidden="false" customHeight="true" outlineLevel="0" collapsed="false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customFormat="false" ht="15.75" hidden="false" customHeight="true" outlineLevel="0" collapsed="false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customFormat="false" ht="15.75" hidden="false" customHeight="true" outlineLevel="0" collapsed="false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customFormat="false" ht="15.75" hidden="false" customHeight="true" outlineLevel="0" collapsed="false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customFormat="false" ht="15.75" hidden="false" customHeight="true" outlineLevel="0" collapsed="false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customFormat="false" ht="15.75" hidden="false" customHeight="true" outlineLevel="0" collapsed="false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customFormat="false" ht="15.75" hidden="false" customHeight="true" outlineLevel="0" collapsed="false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customFormat="false" ht="15.75" hidden="false" customHeight="true" outlineLevel="0" collapsed="false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customFormat="false" ht="15.75" hidden="false" customHeight="true" outlineLevel="0" collapsed="false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customFormat="false" ht="15.75" hidden="false" customHeight="true" outlineLevel="0" collapsed="false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customFormat="false" ht="15.75" hidden="false" customHeight="true" outlineLevel="0" collapsed="false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customFormat="false" ht="15.75" hidden="false" customHeight="true" outlineLevel="0" collapsed="false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customFormat="false" ht="15.75" hidden="false" customHeight="true" outlineLevel="0" collapsed="false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customFormat="false" ht="15.75" hidden="false" customHeight="true" outlineLevel="0" collapsed="false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customFormat="false" ht="15.75" hidden="false" customHeight="true" outlineLevel="0" collapsed="false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customFormat="false" ht="15.75" hidden="false" customHeight="true" outlineLevel="0" collapsed="false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customFormat="false" ht="15.75" hidden="false" customHeight="true" outlineLevel="0" collapsed="false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customFormat="false" ht="15.75" hidden="false" customHeight="true" outlineLevel="0" collapsed="false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customFormat="false" ht="15.75" hidden="false" customHeight="true" outlineLevel="0" collapsed="false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customFormat="false" ht="15.75" hidden="false" customHeight="true" outlineLevel="0" collapsed="false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customFormat="false" ht="15.75" hidden="false" customHeight="true" outlineLevel="0" collapsed="false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customFormat="false" ht="15.75" hidden="false" customHeight="true" outlineLevel="0" collapsed="false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customFormat="false" ht="15.75" hidden="false" customHeight="true" outlineLevel="0" collapsed="false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customFormat="false" ht="15.75" hidden="false" customHeight="true" outlineLevel="0" collapsed="false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customFormat="false" ht="15.75" hidden="false" customHeight="true" outlineLevel="0" collapsed="false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customFormat="false" ht="15.75" hidden="false" customHeight="true" outlineLevel="0" collapsed="false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customFormat="false" ht="15.75" hidden="false" customHeight="true" outlineLevel="0" collapsed="false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customFormat="false" ht="15.75" hidden="false" customHeight="true" outlineLevel="0" collapsed="false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customFormat="false" ht="15.75" hidden="false" customHeight="true" outlineLevel="0" collapsed="false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customFormat="false" ht="15.75" hidden="false" customHeight="true" outlineLevel="0" collapsed="false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customFormat="false" ht="15.75" hidden="false" customHeight="true" outlineLevel="0" collapsed="false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customFormat="false" ht="15.75" hidden="false" customHeight="true" outlineLevel="0" collapsed="false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customFormat="false" ht="15.75" hidden="false" customHeight="true" outlineLevel="0" collapsed="false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customFormat="false" ht="15.75" hidden="false" customHeight="true" outlineLevel="0" collapsed="false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customFormat="false" ht="15.75" hidden="false" customHeight="true" outlineLevel="0" collapsed="false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customFormat="false" ht="15.75" hidden="false" customHeight="true" outlineLevel="0" collapsed="false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customFormat="false" ht="15.75" hidden="false" customHeight="true" outlineLevel="0" collapsed="false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customFormat="false" ht="15.75" hidden="false" customHeight="true" outlineLevel="0" collapsed="false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customFormat="false" ht="15.75" hidden="false" customHeight="true" outlineLevel="0" collapsed="false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customFormat="false" ht="15.75" hidden="false" customHeight="true" outlineLevel="0" collapsed="false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customFormat="false" ht="15.75" hidden="false" customHeight="true" outlineLevel="0" collapsed="false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customFormat="false" ht="15.75" hidden="false" customHeight="true" outlineLevel="0" collapsed="false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customFormat="false" ht="15.75" hidden="false" customHeight="true" outlineLevel="0" collapsed="false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customFormat="false" ht="15.75" hidden="false" customHeight="true" outlineLevel="0" collapsed="false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customFormat="false" ht="15.75" hidden="false" customHeight="true" outlineLevel="0" collapsed="false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customFormat="false" ht="15.75" hidden="false" customHeight="true" outlineLevel="0" collapsed="false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customFormat="false" ht="15.75" hidden="false" customHeight="true" outlineLevel="0" collapsed="false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customFormat="false" ht="15.75" hidden="false" customHeight="true" outlineLevel="0" collapsed="false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customFormat="false" ht="15.75" hidden="false" customHeight="true" outlineLevel="0" collapsed="false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customFormat="false" ht="15.75" hidden="false" customHeight="true" outlineLevel="0" collapsed="false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</sheetData>
  <mergeCells count="4">
    <mergeCell ref="K5:N5"/>
    <mergeCell ref="O5:R5"/>
    <mergeCell ref="S5:V5"/>
    <mergeCell ref="W5:Z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2019-06-24T16:17:51Z</dcterms:created>
  <dc:creator>Shi, Yuan</dc:creator>
  <dc:description/>
  <dc:language>en-US</dc:language>
  <cp:lastModifiedBy>Jan Bena</cp:lastModifiedBy>
  <dcterms:modified xsi:type="dcterms:W3CDTF">2026-10-26T05:04:34Z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